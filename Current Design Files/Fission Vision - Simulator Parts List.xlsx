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\Desktop\Hardware_Documents\Current Design Files\"/>
    </mc:Choice>
  </mc:AlternateContent>
  <xr:revisionPtr revIDLastSave="0" documentId="13_ncr:1_{3460EE9B-7ECF-4EAB-B19F-0401EE6475B0}" xr6:coauthVersionLast="47" xr6:coauthVersionMax="47" xr10:uidLastSave="{00000000-0000-0000-0000-000000000000}"/>
  <bookViews>
    <workbookView xWindow="-120" yWindow="-120" windowWidth="38640" windowHeight="21120" tabRatio="829" xr2:uid="{AEC21032-79A2-493E-97AE-98AF6DE688AE}"/>
  </bookViews>
  <sheets>
    <sheet name="Complete Assembly List" sheetId="1" r:id="rId1"/>
    <sheet name="Indicator Control Panel" sheetId="6" r:id="rId2"/>
    <sheet name="Reactor Control Panel" sheetId="7" r:id="rId3"/>
    <sheet name="SCRAM Control Panel" sheetId="8" r:id="rId4"/>
    <sheet name="Simulation Control Panel" sheetId="9" r:id="rId5"/>
    <sheet name="Simulator Base" sheetId="20" r:id="rId6"/>
    <sheet name="Monitor Panel" sheetId="23" r:id="rId7"/>
    <sheet name="Siren Panel" sheetId="24" r:id="rId8"/>
    <sheet name="HPP Panel" sheetId="25" r:id="rId9"/>
    <sheet name="Mounting Hardware" sheetId="21" r:id="rId10"/>
    <sheet name="Bar Graph Circuit" sheetId="11" r:id="rId11"/>
    <sheet name="Siren Trigger Circuit" sheetId="13" r:id="rId12"/>
    <sheet name="Selector Switch Circuit" sheetId="15" r:id="rId13"/>
    <sheet name="Pull Down Circuit" sheetId="16" r:id="rId14"/>
    <sheet name="Wiring Harness" sheetId="1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G4" i="1"/>
  <c r="E15" i="21"/>
  <c r="G22" i="1"/>
  <c r="E13" i="18"/>
  <c r="E12" i="18"/>
  <c r="E11" i="18"/>
  <c r="E10" i="18"/>
  <c r="E9" i="18"/>
  <c r="E8" i="18"/>
  <c r="E7" i="18"/>
  <c r="E6" i="18"/>
  <c r="E5" i="18"/>
  <c r="E4" i="18"/>
  <c r="E3" i="18"/>
  <c r="E15" i="18" s="1"/>
  <c r="E3" i="25"/>
  <c r="E6" i="25" s="1"/>
  <c r="E4" i="25"/>
  <c r="E3" i="23"/>
  <c r="E4" i="24"/>
  <c r="E3" i="24"/>
  <c r="G13" i="1"/>
  <c r="E11" i="11"/>
  <c r="E8" i="11"/>
  <c r="E12" i="11"/>
  <c r="E9" i="11"/>
  <c r="E4" i="11"/>
  <c r="E10" i="11"/>
  <c r="E5" i="11"/>
  <c r="E17" i="11"/>
  <c r="E7" i="11"/>
  <c r="E13" i="11"/>
  <c r="E20" i="11" s="1"/>
  <c r="E15" i="11"/>
  <c r="E16" i="11"/>
  <c r="E18" i="11"/>
  <c r="E3" i="11"/>
  <c r="E6" i="11"/>
  <c r="E14" i="11"/>
  <c r="E9" i="13"/>
  <c r="E4" i="13"/>
  <c r="E7" i="13"/>
  <c r="E8" i="13"/>
  <c r="E10" i="13"/>
  <c r="E3" i="13"/>
  <c r="E5" i="13"/>
  <c r="E6" i="13"/>
  <c r="E9" i="15"/>
  <c r="G15" i="1" s="1"/>
  <c r="E7" i="15"/>
  <c r="E5" i="15"/>
  <c r="E6" i="15"/>
  <c r="E4" i="15"/>
  <c r="E6" i="16"/>
  <c r="E5" i="16"/>
  <c r="E8" i="16" s="1"/>
  <c r="G14" i="1" s="1"/>
  <c r="E4" i="16"/>
  <c r="E11" i="21"/>
  <c r="E10" i="21"/>
  <c r="E5" i="21"/>
  <c r="E4" i="21"/>
  <c r="E9" i="21"/>
  <c r="E7" i="21"/>
  <c r="E8" i="21"/>
  <c r="E13" i="21"/>
  <c r="E14" i="21"/>
  <c r="E3" i="21"/>
  <c r="E6" i="21"/>
  <c r="E12" i="21"/>
  <c r="E6" i="20"/>
  <c r="E3" i="20"/>
  <c r="E4" i="20"/>
  <c r="E5" i="20"/>
  <c r="G10" i="1"/>
  <c r="F16" i="9"/>
  <c r="F3" i="9"/>
  <c r="F4" i="9"/>
  <c r="F5" i="9"/>
  <c r="F6" i="9"/>
  <c r="F7" i="9"/>
  <c r="F8" i="9"/>
  <c r="F9" i="9"/>
  <c r="F10" i="9"/>
  <c r="F11" i="9"/>
  <c r="F12" i="9"/>
  <c r="F13" i="9"/>
  <c r="F14" i="9"/>
  <c r="G9" i="1"/>
  <c r="F9" i="8"/>
  <c r="F4" i="8"/>
  <c r="F5" i="8"/>
  <c r="F6" i="8"/>
  <c r="F7" i="8"/>
  <c r="F3" i="8"/>
  <c r="F4" i="7"/>
  <c r="F5" i="7"/>
  <c r="F6" i="7"/>
  <c r="F7" i="7"/>
  <c r="F8" i="7"/>
  <c r="F9" i="7"/>
  <c r="F10" i="7"/>
  <c r="F11" i="7"/>
  <c r="F12" i="7"/>
  <c r="F13" i="7"/>
  <c r="F14" i="7"/>
  <c r="F15" i="7"/>
  <c r="J25" i="7"/>
  <c r="F3" i="7"/>
  <c r="F4" i="6"/>
  <c r="F5" i="6"/>
  <c r="F6" i="6"/>
  <c r="F7" i="6"/>
  <c r="F8" i="6"/>
  <c r="F9" i="6"/>
  <c r="F10" i="6"/>
  <c r="F3" i="6"/>
  <c r="E17" i="21" l="1"/>
  <c r="G12" i="1" s="1"/>
  <c r="E6" i="24"/>
  <c r="E4" i="23"/>
  <c r="E12" i="13"/>
  <c r="G16" i="1" s="1"/>
  <c r="E8" i="20"/>
  <c r="G11" i="1" s="1"/>
  <c r="F12" i="6"/>
  <c r="G7" i="1" s="1"/>
  <c r="F17" i="7"/>
  <c r="G8" i="1" s="1"/>
  <c r="C31" i="1" l="1"/>
</calcChain>
</file>

<file path=xl/sharedStrings.xml><?xml version="1.0" encoding="utf-8"?>
<sst xmlns="http://schemas.openxmlformats.org/spreadsheetml/2006/main" count="565" uniqueCount="241">
  <si>
    <t>Name</t>
  </si>
  <si>
    <t>Notes</t>
  </si>
  <si>
    <t>QTY</t>
  </si>
  <si>
    <t>Use</t>
  </si>
  <si>
    <t>Raspberry Pi 5</t>
  </si>
  <si>
    <t>Hosts Simulation. Processes Analog IO</t>
  </si>
  <si>
    <t>Approx Cost</t>
  </si>
  <si>
    <t>Allows Pi to Process Continuous IO</t>
  </si>
  <si>
    <t>Allows Pi to accept standard HDMI interface. Enables Pi to run off 5V Power Supply</t>
  </si>
  <si>
    <t>Takes DAC output and converts to scaling bar graph lights</t>
  </si>
  <si>
    <t>Pulls toggle/momentary/logic pins to 0V to prevent floating input errors</t>
  </si>
  <si>
    <t>Converts multi-output selector switch to single pin GPIO input</t>
  </si>
  <si>
    <t>Slider Potentiometer</t>
  </si>
  <si>
    <t>Rotatry Potentiometer</t>
  </si>
  <si>
    <t>Toggle Switch</t>
  </si>
  <si>
    <t>Monitor</t>
  </si>
  <si>
    <t>Monitor Arm</t>
  </si>
  <si>
    <t>Powers all simulator functions except montior</t>
  </si>
  <si>
    <t>Holds monitor in place while still allowing for repositioning</t>
  </si>
  <si>
    <t>Displays GUI</t>
  </si>
  <si>
    <t>Analog Simulator Inputs</t>
  </si>
  <si>
    <t>Mouse</t>
  </si>
  <si>
    <t>3mm Discrete LED  Bulb</t>
  </si>
  <si>
    <t>3mm LED Panel Mount</t>
  </si>
  <si>
    <t>10-Pin Molex Connector (Male)</t>
  </si>
  <si>
    <t>Indicator Control Panel -  Part List</t>
  </si>
  <si>
    <t>Wire</t>
  </si>
  <si>
    <t>Heat Shrink 1/8"</t>
  </si>
  <si>
    <t>Quick Disconnect between panel and simulator</t>
  </si>
  <si>
    <t>Mount lights to control panel</t>
  </si>
  <si>
    <t>Simulator analog indication - warning lights</t>
  </si>
  <si>
    <t>Reactor Control Panel -  Part List</t>
  </si>
  <si>
    <t>Heat Shrink 1/4"</t>
  </si>
  <si>
    <t>Rotatry Potentiometer Cap</t>
  </si>
  <si>
    <t>Simulator Control Surface</t>
  </si>
  <si>
    <t>Slider Potentiometer Cap</t>
  </si>
  <si>
    <t>3-Pin Molex Connector (Male)</t>
  </si>
  <si>
    <t>2 for signal, 2 for ground</t>
  </si>
  <si>
    <t>4-Pin Molex Connector (Male)</t>
  </si>
  <si>
    <t>8-Pin Molex Connector (Male)</t>
  </si>
  <si>
    <t>1 for common 12V supply, 1 for common ground</t>
  </si>
  <si>
    <t>Convert 12V Slider Input to output 0-3V</t>
  </si>
  <si>
    <t>Convert 12V Potentiometer Input to output 0-3V</t>
  </si>
  <si>
    <r>
      <t>820 k</t>
    </r>
    <r>
      <rPr>
        <sz val="11"/>
        <color theme="1"/>
        <rFont val="Aptos Narrow"/>
        <family val="2"/>
      </rPr>
      <t>Ω</t>
    </r>
    <r>
      <rPr>
        <sz val="11"/>
        <color theme="1"/>
        <rFont val="Aptos Narrow"/>
        <family val="2"/>
        <scheme val="minor"/>
      </rPr>
      <t xml:space="preserve"> Resistor</t>
    </r>
  </si>
  <si>
    <t>750 kΩ Resistance</t>
  </si>
  <si>
    <t>30 kΩ Resistance</t>
  </si>
  <si>
    <t>LED Resistance</t>
  </si>
  <si>
    <t>Assumes Red LED: Forward Voltage 1.75V and Current 2mA</t>
  </si>
  <si>
    <t>1-2ft, 2:1 shrink ratio sufficient</t>
  </si>
  <si>
    <t>Local Voltage/Ground Mustering Point</t>
  </si>
  <si>
    <t>20ft - Four separate colors prefered (12V, 5V, Signal, Ground)</t>
  </si>
  <si>
    <t>SCRAM Control Panel -  Part List</t>
  </si>
  <si>
    <t>Simulator Control Panel -  Part List</t>
  </si>
  <si>
    <t>Isolation</t>
  </si>
  <si>
    <t>Control Mounting</t>
  </si>
  <si>
    <t>Slider pots signal out</t>
  </si>
  <si>
    <t>Rotary pots signal out</t>
  </si>
  <si>
    <t>Simulator analog control</t>
  </si>
  <si>
    <t>Wire so that switch light in series with switch contact</t>
  </si>
  <si>
    <t>2-Pin Molex Connector (Male)</t>
  </si>
  <si>
    <t>4ft - Four separate colors prefered (12V, 5V, Signal, Ground)</t>
  </si>
  <si>
    <t>1 for both switch outputs, 1 for common 5V supply, 1 for common ground</t>
  </si>
  <si>
    <t>680 kΩ Resistance</t>
  </si>
  <si>
    <t>Convert 5V switch output 3V</t>
  </si>
  <si>
    <t>Attach resistor to power supply lead of switch - signal lead must be connected to Pi through Pulldown circuit.</t>
  </si>
  <si>
    <t>10ft - Four separate colors prefered (12V, 5V, Signal, Ground)</t>
  </si>
  <si>
    <t>Selector Switch</t>
  </si>
  <si>
    <t>Selector Switch Cap</t>
  </si>
  <si>
    <t>Voltage</t>
  </si>
  <si>
    <t>-</t>
  </si>
  <si>
    <t>20-22AWG</t>
  </si>
  <si>
    <t>Wiring Harness</t>
  </si>
  <si>
    <t>Lit Emergency Stop Slap Switch</t>
  </si>
  <si>
    <t>Connects all panels to central D-SUB Passthrough</t>
  </si>
  <si>
    <t>Plywood</t>
  </si>
  <si>
    <t>Provides mounting points for simulator case, circuitry, and other components</t>
  </si>
  <si>
    <t>5/16" thickness minimum - other dimensions and hole pattern as per SolidWorks file</t>
  </si>
  <si>
    <t>Allows Raspberry Pi to trigger 12V siren with low power 3.3V</t>
  </si>
  <si>
    <t>Provides quick connect/disconnect signal and power passthrough between Pi and controls</t>
  </si>
  <si>
    <t>Bar Graph Circuit -  Part List</t>
  </si>
  <si>
    <t>3-Pin 120VAC plug to bare wire or fork terminal - Connect directly to power supply or through rated toggle switch</t>
  </si>
  <si>
    <t>Power Supply</t>
  </si>
  <si>
    <t xml:space="preserve">120VAC to Dual Output 5VDC/12VDC </t>
  </si>
  <si>
    <t>D-SUB Connector (Male)</t>
  </si>
  <si>
    <t xml:space="preserve">50-Pin </t>
  </si>
  <si>
    <t>D-SUB Connector (Female)</t>
  </si>
  <si>
    <t>50-Pin</t>
  </si>
  <si>
    <t>Power Cable</t>
  </si>
  <si>
    <t>Conn Barrier Strip</t>
  </si>
  <si>
    <t>10 position -  0.374"  - 1 for each third of the simulator triptych and 1 at rear for Pi and accessories</t>
  </si>
  <si>
    <t>Vertical aluminum panel to support GUI monitor</t>
  </si>
  <si>
    <t>Vertical aluminum panel to support meltdown siren</t>
  </si>
  <si>
    <t>Vertical aluminum panel to support bar graph lights</t>
  </si>
  <si>
    <t>Aluminum panel to contain hazard/warning indicator lights</t>
  </si>
  <si>
    <t>Aluminum panel to contain reactor controls for parameters such as Liquid Zone Control level, Adjuster Rods position, etc</t>
  </si>
  <si>
    <t>Alumimun panel to contain Reactor SCRAM controls</t>
  </si>
  <si>
    <t>Aluminum panel to contain simulation controls for parameters such as pause, play, simulation speed, etc</t>
  </si>
  <si>
    <t>Type</t>
  </si>
  <si>
    <t>Case</t>
  </si>
  <si>
    <t>Electrical</t>
  </si>
  <si>
    <t>Peripheral</t>
  </si>
  <si>
    <t>Raspberry Pi Module</t>
  </si>
  <si>
    <t>Subtype</t>
  </si>
  <si>
    <t>Back Panel</t>
  </si>
  <si>
    <t>Control Panel</t>
  </si>
  <si>
    <t>Circuit</t>
  </si>
  <si>
    <t>Terminal</t>
  </si>
  <si>
    <t>GUI</t>
  </si>
  <si>
    <t>Power</t>
  </si>
  <si>
    <t>Computation</t>
  </si>
  <si>
    <t>Structure</t>
  </si>
  <si>
    <t>Heat/Power/Pressure Panel</t>
  </si>
  <si>
    <t>Monitor Panel</t>
  </si>
  <si>
    <t>Siren Panel</t>
  </si>
  <si>
    <t>Indicator</t>
  </si>
  <si>
    <t>Reactor Control</t>
  </si>
  <si>
    <t>SCRAM</t>
  </si>
  <si>
    <t>Simulation Control</t>
  </si>
  <si>
    <t>Bar Graph</t>
  </si>
  <si>
    <t>Pull Down</t>
  </si>
  <si>
    <t>Siren Trigger</t>
  </si>
  <si>
    <t>ADC/DAC</t>
  </si>
  <si>
    <t>Micro HDMI to HDMI + Power</t>
  </si>
  <si>
    <t>Provides 120VAC wall power to power supply</t>
  </si>
  <si>
    <t xml:space="preserve">Component/Assembly </t>
  </si>
  <si>
    <t>Assembly</t>
  </si>
  <si>
    <t>Component</t>
  </si>
  <si>
    <t>Initialize Reactor Simulator (Not required while simulation is running)</t>
  </si>
  <si>
    <t>Simulator Base -  Part List</t>
  </si>
  <si>
    <t>Simulator Base</t>
  </si>
  <si>
    <t>Mounting Hardware</t>
  </si>
  <si>
    <t>Plates and components required to interconnect case panels</t>
  </si>
  <si>
    <t>Mounting Hardware -  Part List</t>
  </si>
  <si>
    <t>COMPLETE ASSEMBLY LIST</t>
  </si>
  <si>
    <t>Approximate Total Cost</t>
  </si>
  <si>
    <t>Approximate Total Simulator Cost</t>
  </si>
  <si>
    <t>Approx Per Unit Cost</t>
  </si>
  <si>
    <t>Approx Total Cost</t>
  </si>
  <si>
    <t>Hanger Bolts</t>
  </si>
  <si>
    <t>Case Mounting Point</t>
  </si>
  <si>
    <t>M4 x 25mm</t>
  </si>
  <si>
    <t>Washer</t>
  </si>
  <si>
    <t>M4</t>
  </si>
  <si>
    <t>Wing Nut</t>
  </si>
  <si>
    <t>5/16" minimum - complete dimensions and hole pattern available in SolidWorks file</t>
  </si>
  <si>
    <t>Rivnut</t>
  </si>
  <si>
    <t>Panel Mounting</t>
  </si>
  <si>
    <t>Approx Cost Per Unit</t>
  </si>
  <si>
    <t>Mounting Plate</t>
  </si>
  <si>
    <t>M4 - Steel or Aluminum</t>
  </si>
  <si>
    <t>Angle Bracket</t>
  </si>
  <si>
    <t>Ties vertical panels together</t>
  </si>
  <si>
    <r>
      <t>150</t>
    </r>
    <r>
      <rPr>
        <sz val="11"/>
        <color theme="1"/>
        <rFont val="Aptos Narrow"/>
        <family val="2"/>
      </rPr>
      <t>° bend - 16ga aluminum preferred</t>
    </r>
  </si>
  <si>
    <t>Bracket Mounting</t>
  </si>
  <si>
    <t>Robertson - 0.5" Long</t>
  </si>
  <si>
    <t>Slotted - 0.5" Long - Cheesehead for aesthetics only. Substitute with whatever you like</t>
  </si>
  <si>
    <t>Slotted - 0.25" Long - Cheesehead for aesthetics only. Substitute with whatever you like</t>
  </si>
  <si>
    <t>Dimensions, bend angle, and hole pattern as per Solidworks file</t>
  </si>
  <si>
    <t>27" minimum for proper fitment in panel cutout</t>
  </si>
  <si>
    <t>1 MΩ Resistance</t>
  </si>
  <si>
    <t>Pulldown Resistor</t>
  </si>
  <si>
    <t>2 Position Screw Terminal</t>
  </si>
  <si>
    <t>Wire-to-board connection</t>
  </si>
  <si>
    <t>Circuit PCB</t>
  </si>
  <si>
    <t>0.1" pitch</t>
  </si>
  <si>
    <t>Approx Cost per Unit</t>
  </si>
  <si>
    <t>Protoboard</t>
  </si>
  <si>
    <t>*NOTE: Assumes 8 position circuit</t>
  </si>
  <si>
    <t>31mm x 76mm - 0.1" Pitch - Bus type board preferred</t>
  </si>
  <si>
    <t>*NOTE: Assumes 2 switch circuit with 6 positions each</t>
  </si>
  <si>
    <t>6 Position Screw Terminal</t>
  </si>
  <si>
    <t>*NOTE: Assembly details and component lists can be found within the sub-sheet of the same name. Costs are estimates only and do not include labor.</t>
  </si>
  <si>
    <t>Approx Price Per Unit</t>
  </si>
  <si>
    <t>IC Socket</t>
  </si>
  <si>
    <t>IC-to-board connection</t>
  </si>
  <si>
    <t>DIP-14</t>
  </si>
  <si>
    <t xml:space="preserve">LM324 Op-Amp </t>
  </si>
  <si>
    <t>Comparator Trigger</t>
  </si>
  <si>
    <t>P-Type Mosfet</t>
  </si>
  <si>
    <t>Isolation/Amplification</t>
  </si>
  <si>
    <t>Part Number: GSFH0625 (Good-Ark Semiconductor)</t>
  </si>
  <si>
    <t>Part Number: LM324N (Texas Instruments)</t>
  </si>
  <si>
    <t>200 kΩ Resistance</t>
  </si>
  <si>
    <t>470 kΩ Resistance</t>
  </si>
  <si>
    <t>Comparator Reference Divider</t>
  </si>
  <si>
    <t>Siren Trigger Circuit -  Part List</t>
  </si>
  <si>
    <t>100mm x 80mm - 0.1" Pitch - Strip type board preferred</t>
  </si>
  <si>
    <t>Selector Switch Circuit -  Part List</t>
  </si>
  <si>
    <t>Pull Down Circuit -  Part List</t>
  </si>
  <si>
    <t>Wiring Harness -  Part List</t>
  </si>
  <si>
    <t>Hook-up Wire</t>
  </si>
  <si>
    <t>0.1" pitch - 16-30AWG</t>
  </si>
  <si>
    <t>0.25 W - Axial Through Hole</t>
  </si>
  <si>
    <t>2 kΩ Resistance</t>
  </si>
  <si>
    <t>18 kΩ Resistance</t>
  </si>
  <si>
    <t>3 kΩ Resistance</t>
  </si>
  <si>
    <t>12 kΩ Resistance</t>
  </si>
  <si>
    <t>24 kΩ Resistance</t>
  </si>
  <si>
    <t>56 kΩ Resistance</t>
  </si>
  <si>
    <t>20 kΩ Resistance</t>
  </si>
  <si>
    <t>Assuming 3ft of 22AWG solid core - various colors preferred</t>
  </si>
  <si>
    <t>16ga Aluminum Sheet</t>
  </si>
  <si>
    <t>Dimensioned as per Solidworks file. Assumes Aluminum price of $5 per square foot</t>
  </si>
  <si>
    <t>14ga Aluminum Sheet</t>
  </si>
  <si>
    <t>Dimensioned as per Solidworks file. Assumes Aluminum price of $8 per square foot</t>
  </si>
  <si>
    <t>Heat/Power/Pressure Panel -  Part List</t>
  </si>
  <si>
    <t>Siren Panel -  Part List</t>
  </si>
  <si>
    <t>Monitor Panel -  Part List</t>
  </si>
  <si>
    <t>Washer - M5</t>
  </si>
  <si>
    <t>Wingnut - M5</t>
  </si>
  <si>
    <t>Machine Screw - Cheesehead - M3</t>
  </si>
  <si>
    <t>Washer - M3</t>
  </si>
  <si>
    <t>Machine Screw - Panhead - M5</t>
  </si>
  <si>
    <t>Machine Screw - Cheesehead - M4</t>
  </si>
  <si>
    <t>Bottom Panel Mount - Wing</t>
  </si>
  <si>
    <t>Upper Panel Mount - Wing</t>
  </si>
  <si>
    <t xml:space="preserve">Bottom Panel Mount - Center </t>
  </si>
  <si>
    <t>Upper Panel Mount - Center</t>
  </si>
  <si>
    <t>Approx Price per Unit</t>
  </si>
  <si>
    <t>Fork Terminal (Red)</t>
  </si>
  <si>
    <t>Butt Splice Connector (Red)</t>
  </si>
  <si>
    <t>Fork Terminal (Blue)</t>
  </si>
  <si>
    <t>Butt Splice Connector (Blue)</t>
  </si>
  <si>
    <t>Electrical Connections</t>
  </si>
  <si>
    <t>10-Pin Molex Connector (Female)</t>
  </si>
  <si>
    <t>8-Pin Molex Connector (Female)</t>
  </si>
  <si>
    <t>4-Pin Molex Connector (Female)</t>
  </si>
  <si>
    <t>2-Pin Molex Connector (Female)</t>
  </si>
  <si>
    <t>3-Pin Molex Connector (Female)</t>
  </si>
  <si>
    <t>40-pin GPIO connector ribbon cable</t>
  </si>
  <si>
    <t>Quick Disconnect between controls and Raspberry Pi</t>
  </si>
  <si>
    <t>20-22AWG - 50ft - Four separate colors prefered (12V, 5V, Signal, Ground) - Can substitute for multiconductor cable were appropriate.</t>
  </si>
  <si>
    <t>Beacon w/ Siren</t>
  </si>
  <si>
    <t>Alarm</t>
  </si>
  <si>
    <t>Nylon Stand-Off</t>
  </si>
  <si>
    <t>Circuit Mounting</t>
  </si>
  <si>
    <t>#6UNC - 0.5" Long</t>
  </si>
  <si>
    <t>Beacon Preferred. Avoid strobe.</t>
  </si>
  <si>
    <t>Trailer Side Clearance/Marker LEDs - Amber</t>
  </si>
  <si>
    <t>Bar Graph Indication</t>
  </si>
  <si>
    <t>3/4" dia - 12VDC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</si>
</sst>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6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24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right"/>
    </xf>
    <xf numFmtId="164" fontId="2" fillId="0" borderId="0" xfId="0" applyNumberFormat="1" applyFont="1" applyAlignment="1">
      <alignment horizontal="center" vertical="center"/>
    </xf>
    <xf numFmtId="0" fontId="4" fillId="0" borderId="0" xfId="0" applyFont="1"/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0" fontId="9" fillId="0" borderId="0" xfId="0" applyFont="1"/>
    <xf numFmtId="164" fontId="11" fillId="2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78">
    <dxf>
      <alignment horizontal="left" vertical="center" textRotation="0" wrapText="0" indent="0" justifyLastLine="0" shrinkToFit="0" readingOrder="0"/>
    </dxf>
    <dxf>
      <numFmt numFmtId="164" formatCode="&quot;$&quot;#,##0.00"/>
    </dxf>
    <dxf>
      <numFmt numFmtId="164" formatCode="&quot;$&quot;#,##0.00"/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&quot;$&quot;#,##0.00"/>
    </dxf>
    <dxf>
      <numFmt numFmtId="164" formatCode="&quot;$&quot;#,##0.00"/>
      <alignment horizontal="center" vertical="center" textRotation="0" wrapText="0" indent="0" justifyLastLine="0" shrinkToFit="0" readingOrder="0"/>
    </dxf>
    <dxf>
      <numFmt numFmtId="3" formatCode="#,##0"/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numFmt numFmtId="164" formatCode="&quot;$&quot;#,##0.00"/>
      <alignment horizontal="center" vertical="bottom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&quot;$&quot;#,##0.00"/>
    </dxf>
    <dxf>
      <numFmt numFmtId="164" formatCode="&quot;$&quot;#,##0.00"/>
      <alignment horizontal="center" vertical="bottom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&quot;$&quot;#,##0.00"/>
    </dxf>
    <dxf>
      <numFmt numFmtId="164" formatCode="&quot;$&quot;#,##0.00"/>
      <alignment horizontal="center" vertical="bottom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&quot;$&quot;#,##0.00"/>
    </dxf>
    <dxf>
      <numFmt numFmtId="164" formatCode="&quot;$&quot;#,##0.00"/>
      <alignment horizontal="center" vertical="bottom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&quot;$&quot;#,##0.00"/>
    </dxf>
    <dxf>
      <numFmt numFmtId="164" formatCode="&quot;$&quot;#,##0.00"/>
      <alignment horizontal="center" vertical="bottom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&quot;$&quot;#,##0.00"/>
    </dxf>
    <dxf>
      <numFmt numFmtId="164" formatCode="&quot;$&quot;#,##0.00"/>
      <alignment horizontal="center" vertical="bottom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numFmt numFmtId="164" formatCode="&quot;$&quot;#,##0.00"/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"/>
    </dxf>
    <dxf>
      <numFmt numFmtId="164" formatCode="&quot;$&quot;#,##0.00"/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"/>
    </dxf>
    <dxf>
      <numFmt numFmtId="164" formatCode="&quot;$&quot;#,##0.00"/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numFmt numFmtId="164" formatCode="&quot;$&quot;#,##0.00"/>
      <alignment horizontal="center" vertical="center" textRotation="0" wrapText="0" indent="0" justifyLastLine="0" shrinkToFit="0" readingOrder="0"/>
    </dxf>
    <dxf>
      <font>
        <b/>
      </font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A7154E-41C4-4050-9EAF-201C1D6CD0F7}" name="Table3" displayName="Table3" ref="A3:H28" totalsRowShown="0" headerRowDxfId="77">
  <autoFilter ref="A3:H28" xr:uid="{B2A7154E-41C4-4050-9EAF-201C1D6CD0F7}"/>
  <sortState xmlns:xlrd2="http://schemas.microsoft.com/office/spreadsheetml/2017/richdata2" ref="A4:H28">
    <sortCondition ref="A3:A28"/>
  </sortState>
  <tableColumns count="8">
    <tableColumn id="2" xr3:uid="{D1B7C594-175B-424B-AAF0-FE5DABB7F297}" name="Type" dataDxfId="76"/>
    <tableColumn id="7" xr3:uid="{78ADE64C-7702-4B5E-A023-1219DBB8B922}" name="Subtype" dataDxfId="75"/>
    <tableColumn id="9" xr3:uid="{BA3C8093-8240-4508-B4A5-F263E0867F9C}" name="Component/Assembly " dataDxfId="74"/>
    <tableColumn id="8" xr3:uid="{1A33F290-EA81-4FF6-A531-A06F8B257B64}" name="Name" dataDxfId="73"/>
    <tableColumn id="3" xr3:uid="{03A4362C-6FE4-4412-AE04-B1DD0D516FE0}" name="Use"/>
    <tableColumn id="4" xr3:uid="{0C16CEDE-D1BD-4612-9852-F96DECFA774E}" name="QTY" dataDxfId="72"/>
    <tableColumn id="5" xr3:uid="{E051ECD2-77FF-487A-82E8-A27135347883}" name="Approx Cost" dataDxfId="71"/>
    <tableColumn id="6" xr3:uid="{B719CE85-1420-49EA-B964-87EBCB1E1D49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847202-04D2-469B-8632-C60484F32A40}" name="Table33" displayName="Table33" ref="A2:G10" totalsRowShown="0" headerRowDxfId="70">
  <autoFilter ref="A2:G10" xr:uid="{B2A7154E-41C4-4050-9EAF-201C1D6CD0F7}"/>
  <tableColumns count="7">
    <tableColumn id="1" xr3:uid="{DB30D727-95F1-4473-BA96-60F2CA204782}" name="Name"/>
    <tableColumn id="3" xr3:uid="{A6F71539-09D8-4141-B045-1E97CB09D42F}" name="Use"/>
    <tableColumn id="2" xr3:uid="{4230ACDD-000E-4CD3-863A-3E19BEBDDB27}" name="Voltage" dataDxfId="69"/>
    <tableColumn id="4" xr3:uid="{A14D3A55-934D-40C7-A58C-49EA29C0EC13}" name="QTY" dataDxfId="68"/>
    <tableColumn id="7" xr3:uid="{DDEDD180-28C0-4209-A3BF-411C99DF0902}" name="Approx Per Unit Cost" dataDxfId="67"/>
    <tableColumn id="5" xr3:uid="{BFEC1413-BC71-4E1A-8B7E-91156225BB97}" name="Approx Cost" dataDxfId="66">
      <calculatedColumnFormula>Table33[[#This Row],[QTY]]*Table33[[#This Row],[Approx Per Unit Cost]]</calculatedColumnFormula>
    </tableColumn>
    <tableColumn id="6" xr3:uid="{EAB12FB3-E511-499A-88B0-1EFF99B6BD8A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F4A118-BA98-4368-8801-B69C9B313120}" name="Table335" displayName="Table335" ref="A2:G15" totalsRowShown="0" headerRowDxfId="65">
  <autoFilter ref="A2:G15" xr:uid="{B2A7154E-41C4-4050-9EAF-201C1D6CD0F7}"/>
  <tableColumns count="7">
    <tableColumn id="1" xr3:uid="{F7298EBF-B847-49FA-85FD-DB6FFA73C976}" name="Name"/>
    <tableColumn id="3" xr3:uid="{D4B60908-BE05-41F7-8C0B-831768E0F24F}" name="Use"/>
    <tableColumn id="2" xr3:uid="{02247B15-77BA-4E05-94DD-186D3700264C}" name="Voltage" dataDxfId="64"/>
    <tableColumn id="4" xr3:uid="{BB8E1749-0F9C-4F8A-A281-2B729ECCA555}" name="QTY" dataDxfId="63"/>
    <tableColumn id="7" xr3:uid="{5736AF8F-4705-4CD3-BA6C-CFC36848A797}" name="Approx Per Unit Cost" dataDxfId="62"/>
    <tableColumn id="5" xr3:uid="{278F342C-4B7E-42CD-8DBB-8AB523A164F5}" name="Approx Cost" dataDxfId="61">
      <calculatedColumnFormula>Table335[[#This Row],[QTY]]*Table335[[#This Row],[Approx Per Unit Cost]]</calculatedColumnFormula>
    </tableColumn>
    <tableColumn id="6" xr3:uid="{CA7191A6-17D1-4079-B57F-5B5113366AD1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6979B9-650F-46FA-805B-0F6B0301B044}" name="Table3356" displayName="Table3356" ref="A2:G7" totalsRowShown="0" headerRowDxfId="60">
  <autoFilter ref="A2:G7" xr:uid="{B2A7154E-41C4-4050-9EAF-201C1D6CD0F7}"/>
  <tableColumns count="7">
    <tableColumn id="1" xr3:uid="{7025EF66-DFE4-47A6-AD10-A4EBDC5770A9}" name="Name"/>
    <tableColumn id="3" xr3:uid="{6614671F-B187-441A-BCAD-BED1F89BE47E}" name="Use"/>
    <tableColumn id="2" xr3:uid="{DE13C575-3497-409D-9107-8645034692D4}" name="Voltage" dataDxfId="59"/>
    <tableColumn id="4" xr3:uid="{2B5CE033-4232-41AE-8944-7EB09A904C22}" name="QTY" dataDxfId="58"/>
    <tableColumn id="7" xr3:uid="{F7649DE3-97F7-473E-90FE-63EFC21756DD}" name="Approx Per Unit Cost" dataDxfId="57"/>
    <tableColumn id="5" xr3:uid="{091AB780-B5BD-4D0A-B886-7974D9FC4F3D}" name="Approx Cost" dataDxfId="56">
      <calculatedColumnFormula>Table3356[[#This Row],[Approx Per Unit Cost]]*Table3356[[#This Row],[QTY]]</calculatedColumnFormula>
    </tableColumn>
    <tableColumn id="6" xr3:uid="{EBD60D63-78DD-4EE9-B603-C8DE4447A959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54D936-D6DC-425D-BF59-937DCC0E1D97}" name="Table33567" displayName="Table33567" ref="A2:G14" totalsRowShown="0" headerRowDxfId="55">
  <autoFilter ref="A2:G14" xr:uid="{B2A7154E-41C4-4050-9EAF-201C1D6CD0F7}"/>
  <tableColumns count="7">
    <tableColumn id="1" xr3:uid="{7BBBA1CD-5A41-4BB3-B7BC-071D3F375AB7}" name="Name"/>
    <tableColumn id="3" xr3:uid="{D8D37827-C075-4463-8B14-282AAA025C45}" name="Use"/>
    <tableColumn id="2" xr3:uid="{311C3334-DAE0-4397-AB0A-327E16FAF523}" name="Voltage" dataDxfId="54"/>
    <tableColumn id="4" xr3:uid="{40742AF1-FA37-4FF7-97D5-9AA786156AF9}" name="QTY" dataDxfId="53"/>
    <tableColumn id="8" xr3:uid="{4EDB101F-EEB4-4E5C-A13E-C2EDC82AD79C}" name="Approx Per Unit Cost" dataDxfId="52"/>
    <tableColumn id="5" xr3:uid="{2479CB1B-FBD3-4396-8C40-D07EAE9A0A13}" name="Approx Cost" dataDxfId="51">
      <calculatedColumnFormula>Table33567[[#This Row],[Approx Per Unit Cost]]*Table33567[[#This Row],[QTY]]</calculatedColumnFormula>
    </tableColumn>
    <tableColumn id="6" xr3:uid="{8A92C6FE-8271-4748-8A07-05435A056CD2}" name="Notes" dataDxfId="5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3B234C9-B1F3-4828-9E90-AAD8E4CB5B61}" name="Table335678910111213" displayName="Table335678910111213" ref="A2:F6" totalsRowShown="0" headerRowDxfId="49">
  <autoFilter ref="A2:F6" xr:uid="{B2A7154E-41C4-4050-9EAF-201C1D6CD0F7}"/>
  <tableColumns count="6">
    <tableColumn id="1" xr3:uid="{8FA14AE2-7C02-41C0-A813-705551581E4C}" name="Name"/>
    <tableColumn id="3" xr3:uid="{AA5BBD99-222A-4062-91F5-630567C339BF}" name="Use"/>
    <tableColumn id="4" xr3:uid="{B3E8A97B-04AB-4787-9240-F8B4DE5513D1}" name="QTY" dataDxfId="48"/>
    <tableColumn id="7" xr3:uid="{B3710CA3-CC3F-468F-A095-FC47B4970A71}" name="Approx Per Unit Cost" dataDxfId="47"/>
    <tableColumn id="5" xr3:uid="{7E4E0ECF-E8DE-468B-B66B-912AE3C7C7A0}" name="Approx Cost" dataDxfId="46">
      <calculatedColumnFormula>Table335678910111213[[#This Row],[Approx Per Unit Cost]]*Table335678910111213[[#This Row],[QTY]]</calculatedColumnFormula>
    </tableColumn>
    <tableColumn id="6" xr3:uid="{80A6976D-8DE1-4AE3-9510-47A7DEE5FCEB}" name="Notes" dataDxfId="4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7FBCFD2-5BF2-4D2E-88DE-5C0CC5226F5F}" name="Table33567891011121315" displayName="Table33567891011121315" ref="A2:F3" totalsRowShown="0" headerRowDxfId="44">
  <autoFilter ref="A2:F3" xr:uid="{B2A7154E-41C4-4050-9EAF-201C1D6CD0F7}"/>
  <tableColumns count="6">
    <tableColumn id="1" xr3:uid="{E1C7E4AB-80DF-4422-8B05-67FE5B56A902}" name="Name"/>
    <tableColumn id="3" xr3:uid="{3EACBA52-8136-41CE-805B-D06D2AA11CEB}" name="Use"/>
    <tableColumn id="4" xr3:uid="{563F0F32-3FFC-4383-B447-5E3D44FF80D1}" name="QTY" dataDxfId="43"/>
    <tableColumn id="7" xr3:uid="{C6125A10-15EE-40AE-A36A-F6A0A767A91C}" name="Approx Per Unit Cost" dataDxfId="42"/>
    <tableColumn id="5" xr3:uid="{6A52FC06-21E2-4064-BD00-443D1F424EB6}" name="Approx Cost" dataDxfId="41">
      <calculatedColumnFormula>Table33567891011121315[[#This Row],[Approx Per Unit Cost]]*Table33567891011121315[[#This Row],[QTY]]</calculatedColumnFormula>
    </tableColumn>
    <tableColumn id="6" xr3:uid="{1625BD6F-D653-40E3-B2AC-B787C1812EE0}" name="Notes" dataDxfId="4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3DDAA7E-23C7-4ECB-B29A-73AD37B5D0A1}" name="Table3356789101112131516" displayName="Table3356789101112131516" ref="A2:F4" totalsRowShown="0" headerRowDxfId="39">
  <autoFilter ref="A2:F4" xr:uid="{B2A7154E-41C4-4050-9EAF-201C1D6CD0F7}"/>
  <tableColumns count="6">
    <tableColumn id="1" xr3:uid="{DEB555E4-C318-491E-80A9-D79ECEC7731D}" name="Name"/>
    <tableColumn id="3" xr3:uid="{3EB9F060-DABC-402C-AA3F-8632C9A61E4F}" name="Use"/>
    <tableColumn id="4" xr3:uid="{9896E4A1-037E-4F66-854E-E36628029C93}" name="QTY" dataDxfId="38"/>
    <tableColumn id="7" xr3:uid="{A50A4F1A-5683-4DEA-8290-509B16178A40}" name="Approx Per Unit Cost" dataDxfId="37"/>
    <tableColumn id="5" xr3:uid="{771F567A-0C04-4302-882B-3C489628DD00}" name="Approx Cost" dataDxfId="36">
      <calculatedColumnFormula>Table3356789101112131516[[#This Row],[Approx Per Unit Cost]]*Table3356789101112131516[[#This Row],[QTY]]</calculatedColumnFormula>
    </tableColumn>
    <tableColumn id="6" xr3:uid="{38853351-05A6-4703-8A69-179B67EA9375}" name="Notes" dataDxfId="3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B563C37-EA69-4F5D-A41B-3BCEB3D0020B}" name="Table335678910111213151617" displayName="Table335678910111213151617" ref="A2:F4" totalsRowShown="0" headerRowDxfId="34">
  <autoFilter ref="A2:F4" xr:uid="{B2A7154E-41C4-4050-9EAF-201C1D6CD0F7}"/>
  <tableColumns count="6">
    <tableColumn id="1" xr3:uid="{AF8BE8DD-3302-42A0-BBDE-E5273543354F}" name="Name"/>
    <tableColumn id="3" xr3:uid="{B9969B04-F9B4-4D29-9DF1-D016C8ABDFD3}" name="Use"/>
    <tableColumn id="4" xr3:uid="{3E57EAD3-88F1-4284-83EB-482DF39B5D8B}" name="QTY" dataDxfId="33"/>
    <tableColumn id="7" xr3:uid="{B7FFED1C-BC6B-4F88-9A3C-7E8A6F6AFF6F}" name="Approx Per Unit Cost" dataDxfId="32"/>
    <tableColumn id="5" xr3:uid="{9BB89279-B6AF-4247-9D4A-CB165575B9FE}" name="Approx Cost" dataDxfId="31">
      <calculatedColumnFormula>Table335678910111213151617[[#This Row],[Approx Per Unit Cost]]*Table335678910111213151617[[#This Row],[QTY]]</calculatedColumnFormula>
    </tableColumn>
    <tableColumn id="6" xr3:uid="{03C98DE0-93F1-4EFE-87AC-D8EBE435BF99}" name="Notes" dataDxfId="3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130B4FC-5CB8-4C3A-9019-AD91141CEDD8}" name="Table33567891011121314" displayName="Table33567891011121314" ref="A2:F15" totalsRowShown="0" headerRowDxfId="29">
  <autoFilter ref="A2:F15" xr:uid="{B2A7154E-41C4-4050-9EAF-201C1D6CD0F7}"/>
  <sortState xmlns:xlrd2="http://schemas.microsoft.com/office/spreadsheetml/2017/richdata2" ref="A3:F14">
    <sortCondition ref="A2:A14"/>
  </sortState>
  <tableColumns count="6">
    <tableColumn id="1" xr3:uid="{1B346C33-5BA5-4107-AB1C-58B230EAB698}" name="Name"/>
    <tableColumn id="3" xr3:uid="{7B2F5D42-1F23-40D3-B132-FBEB16491819}" name="Use"/>
    <tableColumn id="4" xr3:uid="{95285351-64D2-40E5-9B0F-4B941C1ECD0F}" name="QTY" dataDxfId="28"/>
    <tableColumn id="7" xr3:uid="{68035D96-DEBA-4CA3-88C3-69E77D414A4B}" name="Approx Cost Per Unit" dataDxfId="27"/>
    <tableColumn id="5" xr3:uid="{2A9D191A-D49F-4A8C-AD06-9C8181C369B4}" name="Approx Cost" dataDxfId="26">
      <calculatedColumnFormula>Table33567891011121314[[#This Row],[Approx Cost Per Unit]]*Table33567891011121314[[#This Row],[QTY]]</calculatedColumnFormula>
    </tableColumn>
    <tableColumn id="6" xr3:uid="{2B115449-F0F3-4751-8F5F-0B12D28182FE}" name="Notes" dataDxfId="2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AC05738-122C-400B-9C12-18F5292523E4}" name="Table335678" displayName="Table335678" ref="A2:F18" totalsRowShown="0" headerRowDxfId="24">
  <autoFilter ref="A2:F18" xr:uid="{B2A7154E-41C4-4050-9EAF-201C1D6CD0F7}"/>
  <sortState xmlns:xlrd2="http://schemas.microsoft.com/office/spreadsheetml/2017/richdata2" ref="A3:F18">
    <sortCondition ref="A2:A18"/>
  </sortState>
  <tableColumns count="6">
    <tableColumn id="1" xr3:uid="{71C5FCE1-DC5F-4A88-87C3-705A647C23A2}" name="Name"/>
    <tableColumn id="3" xr3:uid="{CA3A1DA0-A04B-488A-83F3-7B29E60FDF9B}" name="Use"/>
    <tableColumn id="2" xr3:uid="{A6808DC2-7D34-4296-8A0D-6703AFD83799}" name="QTY" dataDxfId="23"/>
    <tableColumn id="4" xr3:uid="{05A08B50-F4FE-48B7-97C0-F893A06EA6FB}" name="Approx Price Per Unit" dataDxfId="22"/>
    <tableColumn id="5" xr3:uid="{1D87B141-9D6B-4FDE-AFB2-777B0FF8E8DF}" name="Approx Cost" dataDxfId="21">
      <calculatedColumnFormula>Table335678[[#This Row],[Approx Price Per Unit]]*Table335678[[#This Row],[QTY]]</calculatedColumnFormula>
    </tableColumn>
    <tableColumn id="6" xr3:uid="{C8313724-F74D-484B-8731-B172395EC0CE}" name="Notes" dataDxfId="2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160AB8F-C404-4DB3-9050-51B85CB8748F}" name="Table3356789" displayName="Table3356789" ref="A2:F10" totalsRowShown="0" headerRowDxfId="19">
  <autoFilter ref="A2:F10" xr:uid="{B2A7154E-41C4-4050-9EAF-201C1D6CD0F7}"/>
  <sortState xmlns:xlrd2="http://schemas.microsoft.com/office/spreadsheetml/2017/richdata2" ref="A3:F10">
    <sortCondition ref="A2:A10"/>
  </sortState>
  <tableColumns count="6">
    <tableColumn id="1" xr3:uid="{1B720059-2E8B-478F-B045-8DB6532A1D9A}" name="Name"/>
    <tableColumn id="3" xr3:uid="{5BBC8BFE-A695-4CE4-B6F9-3487D020D3F1}" name="Use"/>
    <tableColumn id="2" xr3:uid="{E5C6F927-16E4-4DA3-B716-25CC0B91A649}" name="QTY" dataDxfId="18"/>
    <tableColumn id="4" xr3:uid="{66715871-9C3E-42F8-BAB0-C34160459A6B}" name="Approx Price Per Unit" dataDxfId="17"/>
    <tableColumn id="5" xr3:uid="{CFB1F178-4C9F-4ADE-81B8-41ED862964AE}" name="Approx Cost" dataDxfId="16">
      <calculatedColumnFormula>Table3356789[[#This Row],[Approx Price Per Unit]]*Table3356789[[#This Row],[QTY]]</calculatedColumnFormula>
    </tableColumn>
    <tableColumn id="6" xr3:uid="{F0DF418D-59B8-41A1-BA44-5D5FED3C6BB3}" name="Notes" dataDxfId="1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61568F2-C4B8-48FC-8EAF-FC144AAE9EA0}" name="Table335678910" displayName="Table335678910" ref="A3:F7" totalsRowShown="0" headerRowDxfId="14">
  <autoFilter ref="A3:F7" xr:uid="{B2A7154E-41C4-4050-9EAF-201C1D6CD0F7}"/>
  <sortState xmlns:xlrd2="http://schemas.microsoft.com/office/spreadsheetml/2017/richdata2" ref="A4:F7">
    <sortCondition ref="A3:A7"/>
  </sortState>
  <tableColumns count="6">
    <tableColumn id="1" xr3:uid="{CF5FB93D-F817-4D37-B693-D42982063F08}" name="Name"/>
    <tableColumn id="3" xr3:uid="{83837C03-DB5F-4547-9233-22F312FAD036}" name="Use"/>
    <tableColumn id="4" xr3:uid="{22B14133-AC77-4522-A771-C26E24D8BBA1}" name="QTY" dataDxfId="13"/>
    <tableColumn id="7" xr3:uid="{E55169CE-F2BF-45CB-9819-97064F2A72F4}" name="Approx Cost Per Unit" dataDxfId="12"/>
    <tableColumn id="5" xr3:uid="{43D8DAFE-9C28-4525-9FA0-DFA38EB0A71C}" name="Approx Cost" dataDxfId="11">
      <calculatedColumnFormula>Table335678910[[#This Row],[Approx Cost Per Unit]]*Table335678910[[#This Row],[QTY]]</calculatedColumnFormula>
    </tableColumn>
    <tableColumn id="6" xr3:uid="{0FD5B4DE-0D98-49CF-8BEE-751B109EFBDA}" name="Notes" dataDxfId="1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74297C3-4153-4B4B-AD74-31E9F89EF792}" name="Table33567891011" displayName="Table33567891011" ref="A3:F6" totalsRowShown="0" headerRowDxfId="9">
  <autoFilter ref="A3:F6" xr:uid="{B2A7154E-41C4-4050-9EAF-201C1D6CD0F7}"/>
  <sortState xmlns:xlrd2="http://schemas.microsoft.com/office/spreadsheetml/2017/richdata2" ref="A4:F6">
    <sortCondition ref="A3:A6"/>
  </sortState>
  <tableColumns count="6">
    <tableColumn id="1" xr3:uid="{88C627C3-00A1-4DEC-B032-8EC4C5C09F4D}" name="Name"/>
    <tableColumn id="3" xr3:uid="{C0A8C4C4-AEEC-4AB7-B9F7-3BAFE053B38B}" name="Use"/>
    <tableColumn id="4" xr3:uid="{9C08E48E-D7EC-4733-A706-1EF9EDA4371D}" name="QTY" dataDxfId="8"/>
    <tableColumn id="7" xr3:uid="{F9CAF562-DEE8-4D61-B1EC-EF8731DFBF96}" name="Approx Cost per Unit" dataDxfId="7"/>
    <tableColumn id="5" xr3:uid="{3B04D6FB-E4EF-4EFD-A594-69DA6E149EA6}" name="Approx Cost" dataDxfId="6">
      <calculatedColumnFormula>Table33567891011[[#This Row],[QTY]]*Table33567891011[[#This Row],[Approx Cost per Unit]]</calculatedColumnFormula>
    </tableColumn>
    <tableColumn id="6" xr3:uid="{254945AE-A584-404F-BC7A-37E0EFCA7422}" name="Notes" dataDxfId="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E2313FC-19A5-48D9-A2D8-522078886E4D}" name="Table3356789101112" displayName="Table3356789101112" ref="A2:F13" totalsRowShown="0" headerRowDxfId="4">
  <autoFilter ref="A2:F13" xr:uid="{B2A7154E-41C4-4050-9EAF-201C1D6CD0F7}"/>
  <tableColumns count="6">
    <tableColumn id="1" xr3:uid="{531DE24A-4DB8-4FC5-BC9F-85F8885BB9CD}" name="Name"/>
    <tableColumn id="3" xr3:uid="{803D961B-3C36-4AE0-AE5B-AC241D5AA672}" name="Use"/>
    <tableColumn id="2" xr3:uid="{C33926DE-396C-492D-8E08-47FB26945C90}" name="QTY" dataDxfId="3"/>
    <tableColumn id="4" xr3:uid="{EE0BFA86-9D9C-467D-BD3E-09F2E75EDD06}" name="Approx Price per Unit" dataDxfId="2"/>
    <tableColumn id="5" xr3:uid="{ED723DC7-9D46-4359-8CB7-BB08B55AFB38}" name="Approx Cost" dataDxfId="1">
      <calculatedColumnFormula>Table3356789101112[[#This Row],[Approx Price per Unit]]*Table3356789101112[[#This Row],[QTY]]</calculatedColumnFormula>
    </tableColumn>
    <tableColumn id="6" xr3:uid="{1661FFA2-9F32-43B3-AE41-544C3785AD3B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603D-57B4-4F2E-8558-37E4863EDCC6}">
  <sheetPr>
    <tabColor rgb="FFC00000"/>
  </sheetPr>
  <dimension ref="A1:H31"/>
  <sheetViews>
    <sheetView tabSelected="1" workbookViewId="0">
      <selection activeCell="E35" sqref="E35"/>
    </sheetView>
  </sheetViews>
  <sheetFormatPr defaultRowHeight="15" x14ac:dyDescent="0.25"/>
  <cols>
    <col min="1" max="1" width="11.140625" style="1" bestFit="1" customWidth="1"/>
    <col min="2" max="2" width="19.28515625" style="1" bestFit="1" customWidth="1"/>
    <col min="3" max="3" width="32.140625" style="1" bestFit="1" customWidth="1"/>
    <col min="4" max="4" width="26.28515625" style="1" bestFit="1" customWidth="1"/>
    <col min="5" max="5" width="109.7109375" bestFit="1" customWidth="1"/>
    <col min="6" max="6" width="10.42578125" style="2" bestFit="1" customWidth="1"/>
    <col min="7" max="7" width="19.5703125" style="3" bestFit="1" customWidth="1"/>
    <col min="8" max="8" width="100.85546875" bestFit="1" customWidth="1"/>
  </cols>
  <sheetData>
    <row r="1" spans="1:8" ht="50.25" customHeight="1" x14ac:dyDescent="0.25">
      <c r="A1" s="25" t="s">
        <v>133</v>
      </c>
      <c r="B1" s="25"/>
      <c r="C1" s="25"/>
      <c r="D1" s="25"/>
      <c r="E1" s="25"/>
      <c r="F1" s="25"/>
      <c r="G1" s="25"/>
      <c r="H1" s="25"/>
    </row>
    <row r="2" spans="1:8" ht="26.25" customHeight="1" x14ac:dyDescent="0.25">
      <c r="A2" s="26" t="s">
        <v>171</v>
      </c>
      <c r="B2" s="26"/>
      <c r="C2" s="26"/>
      <c r="D2" s="26"/>
      <c r="E2" s="26"/>
      <c r="F2" s="26"/>
      <c r="G2" s="26"/>
      <c r="H2" s="26"/>
    </row>
    <row r="3" spans="1:8" s="12" customFormat="1" ht="24" customHeight="1" x14ac:dyDescent="0.25">
      <c r="A3" s="12" t="s">
        <v>97</v>
      </c>
      <c r="B3" s="12" t="s">
        <v>102</v>
      </c>
      <c r="C3" s="12" t="s">
        <v>124</v>
      </c>
      <c r="D3" s="12" t="s">
        <v>0</v>
      </c>
      <c r="E3" s="12" t="s">
        <v>3</v>
      </c>
      <c r="F3" s="12" t="s">
        <v>2</v>
      </c>
      <c r="G3" s="13" t="s">
        <v>6</v>
      </c>
      <c r="H3" s="12" t="s">
        <v>1</v>
      </c>
    </row>
    <row r="4" spans="1:8" x14ac:dyDescent="0.25">
      <c r="A4" s="1" t="s">
        <v>98</v>
      </c>
      <c r="B4" s="1" t="s">
        <v>103</v>
      </c>
      <c r="C4" s="1" t="s">
        <v>125</v>
      </c>
      <c r="D4" t="s">
        <v>111</v>
      </c>
      <c r="E4" t="s">
        <v>92</v>
      </c>
      <c r="F4" s="10">
        <v>1</v>
      </c>
      <c r="G4" s="18">
        <f>'HPP Panel'!E6</f>
        <v>29.5</v>
      </c>
    </row>
    <row r="5" spans="1:8" x14ac:dyDescent="0.25">
      <c r="A5" s="1" t="s">
        <v>98</v>
      </c>
      <c r="B5" s="1" t="s">
        <v>103</v>
      </c>
      <c r="C5" s="1" t="s">
        <v>125</v>
      </c>
      <c r="D5" t="s">
        <v>112</v>
      </c>
      <c r="E5" t="s">
        <v>90</v>
      </c>
      <c r="F5" s="10">
        <v>1</v>
      </c>
      <c r="G5" s="18">
        <f>'Monitor Panel'!E4</f>
        <v>32</v>
      </c>
    </row>
    <row r="6" spans="1:8" x14ac:dyDescent="0.25">
      <c r="A6" s="1" t="s">
        <v>98</v>
      </c>
      <c r="B6" s="1" t="s">
        <v>103</v>
      </c>
      <c r="C6" s="1" t="s">
        <v>125</v>
      </c>
      <c r="D6" t="s">
        <v>113</v>
      </c>
      <c r="E6" t="s">
        <v>91</v>
      </c>
      <c r="F6" s="10">
        <v>1</v>
      </c>
      <c r="G6" s="18">
        <f>'Siren Panel'!E6</f>
        <v>41</v>
      </c>
    </row>
    <row r="7" spans="1:8" x14ac:dyDescent="0.25">
      <c r="A7" s="1" t="s">
        <v>98</v>
      </c>
      <c r="B7" s="1" t="s">
        <v>104</v>
      </c>
      <c r="C7" s="1" t="s">
        <v>125</v>
      </c>
      <c r="D7" t="s">
        <v>114</v>
      </c>
      <c r="E7" t="s">
        <v>93</v>
      </c>
      <c r="F7" s="10">
        <v>1</v>
      </c>
      <c r="G7" s="18">
        <f>'Indicator Control Panel'!F12</f>
        <v>41</v>
      </c>
    </row>
    <row r="8" spans="1:8" x14ac:dyDescent="0.25">
      <c r="A8" s="1" t="s">
        <v>98</v>
      </c>
      <c r="B8" s="1" t="s">
        <v>104</v>
      </c>
      <c r="C8" s="1" t="s">
        <v>125</v>
      </c>
      <c r="D8" t="s">
        <v>115</v>
      </c>
      <c r="E8" t="s">
        <v>94</v>
      </c>
      <c r="F8" s="10">
        <v>1</v>
      </c>
      <c r="G8" s="18">
        <f>'Reactor Control Panel'!F17</f>
        <v>54.35</v>
      </c>
    </row>
    <row r="9" spans="1:8" x14ac:dyDescent="0.25">
      <c r="A9" s="1" t="s">
        <v>98</v>
      </c>
      <c r="B9" s="1" t="s">
        <v>104</v>
      </c>
      <c r="C9" s="1" t="s">
        <v>125</v>
      </c>
      <c r="D9" t="s">
        <v>116</v>
      </c>
      <c r="E9" t="s">
        <v>95</v>
      </c>
      <c r="F9" s="10">
        <v>1</v>
      </c>
      <c r="G9" s="18">
        <f>'SCRAM Control Panel'!F9</f>
        <v>35.050000000000004</v>
      </c>
    </row>
    <row r="10" spans="1:8" x14ac:dyDescent="0.25">
      <c r="A10" s="1" t="s">
        <v>98</v>
      </c>
      <c r="B10" s="1" t="s">
        <v>104</v>
      </c>
      <c r="C10" s="1" t="s">
        <v>125</v>
      </c>
      <c r="D10" t="s">
        <v>117</v>
      </c>
      <c r="E10" t="s">
        <v>96</v>
      </c>
      <c r="F10" s="10">
        <v>1</v>
      </c>
      <c r="G10" s="18">
        <f>'Simulation Control Panel'!F16</f>
        <v>57.8</v>
      </c>
    </row>
    <row r="11" spans="1:8" x14ac:dyDescent="0.25">
      <c r="A11" s="1" t="s">
        <v>98</v>
      </c>
      <c r="B11" s="1" t="s">
        <v>110</v>
      </c>
      <c r="C11" s="1" t="s">
        <v>125</v>
      </c>
      <c r="D11" t="s">
        <v>129</v>
      </c>
      <c r="E11" t="s">
        <v>75</v>
      </c>
      <c r="F11" s="10">
        <v>1</v>
      </c>
      <c r="G11" s="18">
        <f>'Simulator Base'!E8</f>
        <v>39</v>
      </c>
      <c r="H11" t="s">
        <v>76</v>
      </c>
    </row>
    <row r="12" spans="1:8" x14ac:dyDescent="0.25">
      <c r="A12" s="1" t="s">
        <v>98</v>
      </c>
      <c r="B12" s="1" t="s">
        <v>110</v>
      </c>
      <c r="C12" s="1" t="s">
        <v>125</v>
      </c>
      <c r="D12" t="s">
        <v>130</v>
      </c>
      <c r="E12" t="s">
        <v>131</v>
      </c>
      <c r="F12" s="10">
        <v>1</v>
      </c>
      <c r="G12" s="18">
        <f>'Mounting Hardware'!E17</f>
        <v>48.699999999999996</v>
      </c>
    </row>
    <row r="13" spans="1:8" x14ac:dyDescent="0.25">
      <c r="A13" s="1" t="s">
        <v>99</v>
      </c>
      <c r="B13" s="1" t="s">
        <v>105</v>
      </c>
      <c r="C13" s="1" t="s">
        <v>125</v>
      </c>
      <c r="D13" t="s">
        <v>118</v>
      </c>
      <c r="E13" t="s">
        <v>9</v>
      </c>
      <c r="F13" s="10">
        <v>2</v>
      </c>
      <c r="G13" s="18">
        <f>'Bar Graph Circuit'!E20*2</f>
        <v>40.6</v>
      </c>
    </row>
    <row r="14" spans="1:8" x14ac:dyDescent="0.25">
      <c r="A14" s="1" t="s">
        <v>99</v>
      </c>
      <c r="B14" s="1" t="s">
        <v>105</v>
      </c>
      <c r="C14" s="1" t="s">
        <v>125</v>
      </c>
      <c r="D14" t="s">
        <v>119</v>
      </c>
      <c r="E14" t="s">
        <v>10</v>
      </c>
      <c r="F14" s="10">
        <v>1</v>
      </c>
      <c r="G14" s="18">
        <f>'Pull Down Circuit'!E8</f>
        <v>11.25</v>
      </c>
    </row>
    <row r="15" spans="1:8" x14ac:dyDescent="0.25">
      <c r="A15" s="1" t="s">
        <v>99</v>
      </c>
      <c r="B15" s="1" t="s">
        <v>105</v>
      </c>
      <c r="C15" s="1" t="s">
        <v>125</v>
      </c>
      <c r="D15" t="s">
        <v>66</v>
      </c>
      <c r="E15" t="s">
        <v>11</v>
      </c>
      <c r="F15" s="10">
        <v>1</v>
      </c>
      <c r="G15" s="18">
        <f>'Selector Switch Circuit'!E9</f>
        <v>11.100000000000001</v>
      </c>
    </row>
    <row r="16" spans="1:8" x14ac:dyDescent="0.25">
      <c r="A16" s="1" t="s">
        <v>99</v>
      </c>
      <c r="B16" s="1" t="s">
        <v>105</v>
      </c>
      <c r="C16" s="1" t="s">
        <v>125</v>
      </c>
      <c r="D16" t="s">
        <v>120</v>
      </c>
      <c r="E16" t="s">
        <v>77</v>
      </c>
      <c r="F16" s="10">
        <v>1</v>
      </c>
      <c r="G16" s="18">
        <f>'Siren Trigger Circuit'!E12</f>
        <v>8.6999999999999993</v>
      </c>
    </row>
    <row r="17" spans="1:8" x14ac:dyDescent="0.25">
      <c r="A17" s="1" t="s">
        <v>99</v>
      </c>
      <c r="B17" s="1" t="s">
        <v>106</v>
      </c>
      <c r="C17" s="1" t="s">
        <v>126</v>
      </c>
      <c r="D17" t="s">
        <v>88</v>
      </c>
      <c r="E17" t="s">
        <v>49</v>
      </c>
      <c r="F17" s="10">
        <v>4</v>
      </c>
      <c r="G17" s="18">
        <v>10</v>
      </c>
      <c r="H17" t="s">
        <v>89</v>
      </c>
    </row>
    <row r="18" spans="1:8" x14ac:dyDescent="0.25">
      <c r="A18" s="1" t="s">
        <v>99</v>
      </c>
      <c r="B18" s="1" t="s">
        <v>106</v>
      </c>
      <c r="C18" s="1" t="s">
        <v>126</v>
      </c>
      <c r="D18" t="s">
        <v>85</v>
      </c>
      <c r="E18" t="s">
        <v>78</v>
      </c>
      <c r="F18" s="10">
        <v>1</v>
      </c>
      <c r="G18" s="18">
        <v>2.5</v>
      </c>
      <c r="H18" t="s">
        <v>86</v>
      </c>
    </row>
    <row r="19" spans="1:8" x14ac:dyDescent="0.25">
      <c r="A19" s="1" t="s">
        <v>99</v>
      </c>
      <c r="B19" s="1" t="s">
        <v>106</v>
      </c>
      <c r="C19" s="1" t="s">
        <v>126</v>
      </c>
      <c r="D19" t="s">
        <v>83</v>
      </c>
      <c r="E19" t="s">
        <v>78</v>
      </c>
      <c r="F19" s="10">
        <v>1</v>
      </c>
      <c r="G19" s="18">
        <v>2.5</v>
      </c>
      <c r="H19" t="s">
        <v>84</v>
      </c>
    </row>
    <row r="20" spans="1:8" x14ac:dyDescent="0.25">
      <c r="A20" s="1" t="s">
        <v>99</v>
      </c>
      <c r="B20" s="1" t="s">
        <v>108</v>
      </c>
      <c r="C20" s="1" t="s">
        <v>126</v>
      </c>
      <c r="D20" t="s">
        <v>87</v>
      </c>
      <c r="E20" t="s">
        <v>123</v>
      </c>
      <c r="F20" s="10">
        <v>1</v>
      </c>
      <c r="G20" s="18">
        <v>5</v>
      </c>
      <c r="H20" t="s">
        <v>80</v>
      </c>
    </row>
    <row r="21" spans="1:8" x14ac:dyDescent="0.25">
      <c r="A21" s="1" t="s">
        <v>99</v>
      </c>
      <c r="B21" s="1" t="s">
        <v>108</v>
      </c>
      <c r="C21" s="1" t="s">
        <v>126</v>
      </c>
      <c r="D21" t="s">
        <v>81</v>
      </c>
      <c r="E21" t="s">
        <v>17</v>
      </c>
      <c r="F21" s="10">
        <v>1</v>
      </c>
      <c r="G21" s="18">
        <v>75</v>
      </c>
      <c r="H21" t="s">
        <v>82</v>
      </c>
    </row>
    <row r="22" spans="1:8" x14ac:dyDescent="0.25">
      <c r="A22" s="1" t="s">
        <v>99</v>
      </c>
      <c r="B22" s="1" t="s">
        <v>108</v>
      </c>
      <c r="C22" s="1" t="s">
        <v>125</v>
      </c>
      <c r="D22" t="s">
        <v>71</v>
      </c>
      <c r="E22" t="s">
        <v>73</v>
      </c>
      <c r="F22" s="10">
        <v>1</v>
      </c>
      <c r="G22" s="18">
        <f>'Wiring Harness'!E15</f>
        <v>39.25</v>
      </c>
    </row>
    <row r="23" spans="1:8" x14ac:dyDescent="0.25">
      <c r="A23" s="1" t="s">
        <v>99</v>
      </c>
      <c r="B23" s="1" t="s">
        <v>109</v>
      </c>
      <c r="C23" s="1" t="s">
        <v>126</v>
      </c>
      <c r="D23" t="s">
        <v>4</v>
      </c>
      <c r="E23" t="s">
        <v>5</v>
      </c>
      <c r="F23" s="10">
        <v>1</v>
      </c>
      <c r="G23" s="18">
        <v>250</v>
      </c>
    </row>
    <row r="24" spans="1:8" x14ac:dyDescent="0.25">
      <c r="A24" s="1" t="s">
        <v>99</v>
      </c>
      <c r="B24" s="1" t="s">
        <v>101</v>
      </c>
      <c r="C24" s="1" t="s">
        <v>126</v>
      </c>
      <c r="D24" t="s">
        <v>121</v>
      </c>
      <c r="E24" t="s">
        <v>7</v>
      </c>
      <c r="F24" s="10">
        <v>1</v>
      </c>
      <c r="G24" s="18">
        <v>60</v>
      </c>
    </row>
    <row r="25" spans="1:8" x14ac:dyDescent="0.25">
      <c r="A25" s="1" t="s">
        <v>99</v>
      </c>
      <c r="B25" s="1" t="s">
        <v>101</v>
      </c>
      <c r="C25" s="1" t="s">
        <v>126</v>
      </c>
      <c r="D25" t="s">
        <v>122</v>
      </c>
      <c r="E25" t="s">
        <v>8</v>
      </c>
      <c r="F25" s="10">
        <v>1</v>
      </c>
      <c r="G25" s="18">
        <v>20</v>
      </c>
    </row>
    <row r="26" spans="1:8" x14ac:dyDescent="0.25">
      <c r="A26" s="1" t="s">
        <v>100</v>
      </c>
      <c r="B26" s="1" t="s">
        <v>107</v>
      </c>
      <c r="C26" s="1" t="s">
        <v>126</v>
      </c>
      <c r="D26" t="s">
        <v>15</v>
      </c>
      <c r="E26" t="s">
        <v>19</v>
      </c>
      <c r="F26" s="10">
        <v>1</v>
      </c>
      <c r="G26" s="18">
        <v>150</v>
      </c>
      <c r="H26" t="s">
        <v>158</v>
      </c>
    </row>
    <row r="27" spans="1:8" x14ac:dyDescent="0.25">
      <c r="A27" s="1" t="s">
        <v>100</v>
      </c>
      <c r="B27" s="1" t="s">
        <v>107</v>
      </c>
      <c r="C27" s="1" t="s">
        <v>126</v>
      </c>
      <c r="D27" t="s">
        <v>16</v>
      </c>
      <c r="E27" t="s">
        <v>18</v>
      </c>
      <c r="F27" s="10">
        <v>1</v>
      </c>
      <c r="G27" s="18">
        <v>50</v>
      </c>
    </row>
    <row r="28" spans="1:8" x14ac:dyDescent="0.25">
      <c r="A28" s="1" t="s">
        <v>100</v>
      </c>
      <c r="B28" s="1" t="s">
        <v>107</v>
      </c>
      <c r="C28" s="1" t="s">
        <v>126</v>
      </c>
      <c r="D28" t="s">
        <v>21</v>
      </c>
      <c r="E28" t="s">
        <v>127</v>
      </c>
      <c r="F28" s="10">
        <v>1</v>
      </c>
      <c r="G28" s="18">
        <v>10</v>
      </c>
    </row>
    <row r="31" spans="1:8" ht="30" customHeight="1" x14ac:dyDescent="0.25">
      <c r="A31" s="27" t="s">
        <v>135</v>
      </c>
      <c r="B31" s="27"/>
      <c r="C31" s="23">
        <f>SUM(Table3[Approx Cost])</f>
        <v>1124.3</v>
      </c>
      <c r="D31" s="24"/>
    </row>
  </sheetData>
  <mergeCells count="3">
    <mergeCell ref="A1:H1"/>
    <mergeCell ref="A2:H2"/>
    <mergeCell ref="A31:B31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EDE9-3EDF-41C6-966C-9C78863CCFE7}">
  <sheetPr>
    <tabColor rgb="FFFFC000"/>
  </sheetPr>
  <dimension ref="A1:G28"/>
  <sheetViews>
    <sheetView workbookViewId="0">
      <selection activeCell="B22" sqref="B22"/>
    </sheetView>
  </sheetViews>
  <sheetFormatPr defaultRowHeight="15" x14ac:dyDescent="0.25"/>
  <cols>
    <col min="1" max="1" width="45.7109375" bestFit="1" customWidth="1"/>
    <col min="2" max="2" width="74.42578125" bestFit="1" customWidth="1"/>
    <col min="3" max="3" width="12.28515625" style="1" bestFit="1" customWidth="1"/>
    <col min="4" max="4" width="9.140625" style="2" bestFit="1" customWidth="1"/>
    <col min="5" max="5" width="21.7109375" style="2" bestFit="1" customWidth="1"/>
    <col min="6" max="6" width="16.5703125" style="4" bestFit="1" customWidth="1"/>
    <col min="7" max="7" width="94.7109375" customWidth="1"/>
  </cols>
  <sheetData>
    <row r="1" spans="1:7" s="22" customFormat="1" ht="51" customHeight="1" x14ac:dyDescent="0.7">
      <c r="A1" s="25" t="s">
        <v>25</v>
      </c>
      <c r="B1" s="25"/>
      <c r="C1" s="25"/>
      <c r="D1" s="25"/>
      <c r="E1" s="25"/>
      <c r="F1" s="25"/>
      <c r="G1" s="25"/>
    </row>
    <row r="2" spans="1:7" s="1" customFormat="1" x14ac:dyDescent="0.25">
      <c r="A2" s="1" t="s">
        <v>0</v>
      </c>
      <c r="B2" s="1" t="s">
        <v>3</v>
      </c>
      <c r="C2" s="1" t="s">
        <v>68</v>
      </c>
      <c r="D2" s="1" t="s">
        <v>2</v>
      </c>
      <c r="E2" s="1" t="s">
        <v>136</v>
      </c>
      <c r="F2" s="3" t="s">
        <v>6</v>
      </c>
      <c r="G2" s="1" t="s">
        <v>1</v>
      </c>
    </row>
    <row r="3" spans="1:7" x14ac:dyDescent="0.25">
      <c r="A3" t="s">
        <v>22</v>
      </c>
      <c r="B3" t="s">
        <v>30</v>
      </c>
      <c r="C3" s="1">
        <v>3.3</v>
      </c>
      <c r="D3" s="2">
        <v>20</v>
      </c>
      <c r="E3" s="5">
        <v>0.5</v>
      </c>
      <c r="F3" s="4">
        <f>Table33[[#This Row],[QTY]]*Table33[[#This Row],[Approx Per Unit Cost]]</f>
        <v>10</v>
      </c>
    </row>
    <row r="4" spans="1:7" x14ac:dyDescent="0.25">
      <c r="A4" t="s">
        <v>23</v>
      </c>
      <c r="B4" t="s">
        <v>29</v>
      </c>
      <c r="C4" s="1" t="s">
        <v>69</v>
      </c>
      <c r="D4" s="2">
        <v>20</v>
      </c>
      <c r="E4" s="5">
        <v>0.5</v>
      </c>
      <c r="F4" s="4">
        <f>Table33[[#This Row],[QTY]]*Table33[[#This Row],[Approx Per Unit Cost]]</f>
        <v>10</v>
      </c>
    </row>
    <row r="5" spans="1:7" x14ac:dyDescent="0.25">
      <c r="A5" t="s">
        <v>24</v>
      </c>
      <c r="B5" t="s">
        <v>28</v>
      </c>
      <c r="C5" s="1" t="s">
        <v>69</v>
      </c>
      <c r="D5" s="2">
        <v>4</v>
      </c>
      <c r="E5" s="5">
        <v>1.25</v>
      </c>
      <c r="F5" s="4">
        <f>Table33[[#This Row],[QTY]]*Table33[[#This Row],[Approx Per Unit Cost]]</f>
        <v>5</v>
      </c>
      <c r="G5" t="s">
        <v>37</v>
      </c>
    </row>
    <row r="6" spans="1:7" x14ac:dyDescent="0.25">
      <c r="A6" t="s">
        <v>201</v>
      </c>
      <c r="B6" t="s">
        <v>54</v>
      </c>
      <c r="C6" s="1" t="s">
        <v>69</v>
      </c>
      <c r="D6" s="2">
        <v>1</v>
      </c>
      <c r="E6" s="5">
        <v>10</v>
      </c>
      <c r="F6" s="4">
        <f>Table33[[#This Row],[QTY]]*Table33[[#This Row],[Approx Per Unit Cost]]</f>
        <v>10</v>
      </c>
      <c r="G6" t="s">
        <v>202</v>
      </c>
    </row>
    <row r="7" spans="1:7" x14ac:dyDescent="0.25">
      <c r="A7" t="s">
        <v>27</v>
      </c>
      <c r="B7" t="s">
        <v>53</v>
      </c>
      <c r="C7" s="1" t="s">
        <v>69</v>
      </c>
      <c r="D7" s="2">
        <v>1</v>
      </c>
      <c r="E7" s="5">
        <v>1</v>
      </c>
      <c r="F7" s="4">
        <f>Table33[[#This Row],[QTY]]*Table33[[#This Row],[Approx Per Unit Cost]]</f>
        <v>1</v>
      </c>
      <c r="G7" t="s">
        <v>48</v>
      </c>
    </row>
    <row r="8" spans="1:7" x14ac:dyDescent="0.25">
      <c r="A8" t="s">
        <v>32</v>
      </c>
      <c r="B8" t="s">
        <v>53</v>
      </c>
      <c r="C8" s="1" t="s">
        <v>69</v>
      </c>
      <c r="D8" s="2">
        <v>1</v>
      </c>
      <c r="E8" s="5">
        <v>1</v>
      </c>
      <c r="F8" s="4">
        <f>Table33[[#This Row],[QTY]]*Table33[[#This Row],[Approx Per Unit Cost]]</f>
        <v>1</v>
      </c>
      <c r="G8" t="s">
        <v>48</v>
      </c>
    </row>
    <row r="9" spans="1:7" x14ac:dyDescent="0.25">
      <c r="A9" t="s">
        <v>26</v>
      </c>
      <c r="B9" t="s">
        <v>70</v>
      </c>
      <c r="C9" s="1" t="s">
        <v>69</v>
      </c>
      <c r="D9" s="2">
        <v>10</v>
      </c>
      <c r="E9" s="5">
        <v>0.3</v>
      </c>
      <c r="F9" s="4">
        <f>Table33[[#This Row],[QTY]]*Table33[[#This Row],[Approx Per Unit Cost]]</f>
        <v>3</v>
      </c>
      <c r="G9" t="s">
        <v>65</v>
      </c>
    </row>
    <row r="10" spans="1:7" x14ac:dyDescent="0.25">
      <c r="A10" t="s">
        <v>43</v>
      </c>
      <c r="B10" t="s">
        <v>46</v>
      </c>
      <c r="C10" s="1">
        <v>3.3</v>
      </c>
      <c r="D10" s="2">
        <v>20</v>
      </c>
      <c r="E10" s="5">
        <v>0.05</v>
      </c>
      <c r="F10" s="4">
        <f>Table33[[#This Row],[QTY]]*Table33[[#This Row],[Approx Per Unit Cost]]</f>
        <v>1</v>
      </c>
      <c r="G10" t="s">
        <v>47</v>
      </c>
    </row>
    <row r="12" spans="1:7" x14ac:dyDescent="0.25">
      <c r="C12" s="11"/>
      <c r="E12" s="14" t="s">
        <v>134</v>
      </c>
      <c r="F12" s="3">
        <f>SUM(Table33[Approx Cost])</f>
        <v>41</v>
      </c>
    </row>
    <row r="28" spans="5:5" x14ac:dyDescent="0.25">
      <c r="E28" s="15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FED62-E688-40B2-9239-85D13537E7C9}">
  <sheetPr>
    <tabColor rgb="FFFFC000"/>
  </sheetPr>
  <dimension ref="A1:J25"/>
  <sheetViews>
    <sheetView workbookViewId="0">
      <selection activeCell="B24" sqref="B24"/>
    </sheetView>
  </sheetViews>
  <sheetFormatPr defaultRowHeight="15" x14ac:dyDescent="0.25"/>
  <cols>
    <col min="1" max="1" width="45.7109375" bestFit="1" customWidth="1"/>
    <col min="2" max="2" width="74.42578125" bestFit="1" customWidth="1"/>
    <col min="3" max="3" width="12.28515625" style="1" bestFit="1" customWidth="1"/>
    <col min="4" max="4" width="9.140625" style="2" bestFit="1" customWidth="1"/>
    <col min="5" max="5" width="24.42578125" style="2" bestFit="1" customWidth="1"/>
    <col min="6" max="6" width="16.5703125" style="4" bestFit="1" customWidth="1"/>
    <col min="7" max="7" width="75.85546875" bestFit="1" customWidth="1"/>
  </cols>
  <sheetData>
    <row r="1" spans="1:7" s="22" customFormat="1" ht="46.5" customHeight="1" x14ac:dyDescent="0.7">
      <c r="A1" s="25" t="s">
        <v>31</v>
      </c>
      <c r="B1" s="25"/>
      <c r="C1" s="25"/>
      <c r="D1" s="25"/>
      <c r="E1" s="25"/>
      <c r="F1" s="25"/>
      <c r="G1" s="25"/>
    </row>
    <row r="2" spans="1:7" s="1" customFormat="1" x14ac:dyDescent="0.25">
      <c r="A2" s="1" t="s">
        <v>0</v>
      </c>
      <c r="B2" s="1" t="s">
        <v>3</v>
      </c>
      <c r="C2" s="1" t="s">
        <v>68</v>
      </c>
      <c r="D2" s="1" t="s">
        <v>2</v>
      </c>
      <c r="E2" s="1" t="s">
        <v>136</v>
      </c>
      <c r="F2" s="3" t="s">
        <v>6</v>
      </c>
      <c r="G2" s="1" t="s">
        <v>1</v>
      </c>
    </row>
    <row r="3" spans="1:7" x14ac:dyDescent="0.25">
      <c r="A3" t="s">
        <v>13</v>
      </c>
      <c r="B3" t="s">
        <v>20</v>
      </c>
      <c r="C3" s="1">
        <v>12</v>
      </c>
      <c r="D3" s="2">
        <v>4</v>
      </c>
      <c r="E3" s="5">
        <v>2.5</v>
      </c>
      <c r="F3" s="4">
        <f>Table335[[#This Row],[QTY]]*Table335[[#This Row],[Approx Per Unit Cost]]</f>
        <v>10</v>
      </c>
    </row>
    <row r="4" spans="1:7" x14ac:dyDescent="0.25">
      <c r="A4" t="s">
        <v>33</v>
      </c>
      <c r="B4" t="s">
        <v>34</v>
      </c>
      <c r="C4" s="1" t="s">
        <v>69</v>
      </c>
      <c r="D4" s="2">
        <v>4</v>
      </c>
      <c r="E4" s="5">
        <v>0.75</v>
      </c>
      <c r="F4" s="4">
        <f>Table335[[#This Row],[QTY]]*Table335[[#This Row],[Approx Per Unit Cost]]</f>
        <v>3</v>
      </c>
    </row>
    <row r="5" spans="1:7" x14ac:dyDescent="0.25">
      <c r="A5" t="s">
        <v>12</v>
      </c>
      <c r="B5" t="s">
        <v>20</v>
      </c>
      <c r="C5" s="1">
        <v>12</v>
      </c>
      <c r="D5" s="2">
        <v>3</v>
      </c>
      <c r="E5" s="5">
        <v>6</v>
      </c>
      <c r="F5" s="4">
        <f>Table335[[#This Row],[QTY]]*Table335[[#This Row],[Approx Per Unit Cost]]</f>
        <v>18</v>
      </c>
    </row>
    <row r="6" spans="1:7" x14ac:dyDescent="0.25">
      <c r="A6" t="s">
        <v>35</v>
      </c>
      <c r="B6" t="s">
        <v>34</v>
      </c>
      <c r="C6" s="1" t="s">
        <v>69</v>
      </c>
      <c r="D6" s="2">
        <v>3</v>
      </c>
      <c r="E6" s="5">
        <v>1</v>
      </c>
      <c r="F6" s="4">
        <f>Table335[[#This Row],[QTY]]*Table335[[#This Row],[Approx Per Unit Cost]]</f>
        <v>3</v>
      </c>
    </row>
    <row r="7" spans="1:7" x14ac:dyDescent="0.25">
      <c r="A7" t="s">
        <v>36</v>
      </c>
      <c r="B7" t="s">
        <v>28</v>
      </c>
      <c r="C7" s="1" t="s">
        <v>69</v>
      </c>
      <c r="D7" s="2">
        <v>1</v>
      </c>
      <c r="E7" s="5">
        <v>1.25</v>
      </c>
      <c r="F7" s="4">
        <f>Table335[[#This Row],[QTY]]*Table335[[#This Row],[Approx Per Unit Cost]]</f>
        <v>1.25</v>
      </c>
      <c r="G7" t="s">
        <v>55</v>
      </c>
    </row>
    <row r="8" spans="1:7" x14ac:dyDescent="0.25">
      <c r="A8" t="s">
        <v>38</v>
      </c>
      <c r="B8" t="s">
        <v>28</v>
      </c>
      <c r="C8" s="1" t="s">
        <v>69</v>
      </c>
      <c r="D8" s="2">
        <v>1</v>
      </c>
      <c r="E8" s="5">
        <v>1.25</v>
      </c>
      <c r="F8" s="4">
        <f>Table335[[#This Row],[QTY]]*Table335[[#This Row],[Approx Per Unit Cost]]</f>
        <v>1.25</v>
      </c>
      <c r="G8" t="s">
        <v>56</v>
      </c>
    </row>
    <row r="9" spans="1:7" x14ac:dyDescent="0.25">
      <c r="A9" t="s">
        <v>39</v>
      </c>
      <c r="B9" t="s">
        <v>28</v>
      </c>
      <c r="C9" s="1" t="s">
        <v>69</v>
      </c>
      <c r="D9" s="2">
        <v>2</v>
      </c>
      <c r="E9" s="5">
        <v>1.25</v>
      </c>
      <c r="F9" s="4">
        <f>Table335[[#This Row],[QTY]]*Table335[[#This Row],[Approx Per Unit Cost]]</f>
        <v>2.5</v>
      </c>
      <c r="G9" t="s">
        <v>40</v>
      </c>
    </row>
    <row r="10" spans="1:7" x14ac:dyDescent="0.25">
      <c r="A10" t="s">
        <v>201</v>
      </c>
      <c r="B10" t="s">
        <v>54</v>
      </c>
      <c r="C10" s="1" t="s">
        <v>69</v>
      </c>
      <c r="D10" s="2">
        <v>1</v>
      </c>
      <c r="E10" s="5">
        <v>10</v>
      </c>
      <c r="F10" s="4">
        <f>Table335[[#This Row],[QTY]]*Table335[[#This Row],[Approx Per Unit Cost]]</f>
        <v>10</v>
      </c>
      <c r="G10" t="s">
        <v>202</v>
      </c>
    </row>
    <row r="11" spans="1:7" x14ac:dyDescent="0.25">
      <c r="A11" t="s">
        <v>27</v>
      </c>
      <c r="B11" t="s">
        <v>53</v>
      </c>
      <c r="C11" s="1" t="s">
        <v>69</v>
      </c>
      <c r="D11" s="2">
        <v>1</v>
      </c>
      <c r="E11" s="5">
        <v>1</v>
      </c>
      <c r="F11" s="4">
        <f>Table335[[#This Row],[QTY]]*Table335[[#This Row],[Approx Per Unit Cost]]</f>
        <v>1</v>
      </c>
      <c r="G11" t="s">
        <v>48</v>
      </c>
    </row>
    <row r="12" spans="1:7" x14ac:dyDescent="0.25">
      <c r="A12" t="s">
        <v>32</v>
      </c>
      <c r="B12" t="s">
        <v>53</v>
      </c>
      <c r="C12" s="1" t="s">
        <v>69</v>
      </c>
      <c r="D12" s="2">
        <v>1</v>
      </c>
      <c r="E12" s="5">
        <v>1</v>
      </c>
      <c r="F12" s="4">
        <f>Table335[[#This Row],[QTY]]*Table335[[#This Row],[Approx Per Unit Cost]]</f>
        <v>1</v>
      </c>
      <c r="G12" t="s">
        <v>48</v>
      </c>
    </row>
    <row r="13" spans="1:7" x14ac:dyDescent="0.25">
      <c r="A13" t="s">
        <v>26</v>
      </c>
      <c r="B13" t="s">
        <v>70</v>
      </c>
      <c r="C13" s="1" t="s">
        <v>69</v>
      </c>
      <c r="D13" s="2">
        <v>10</v>
      </c>
      <c r="E13" s="5">
        <v>0.3</v>
      </c>
      <c r="F13" s="4">
        <f>Table335[[#This Row],[QTY]]*Table335[[#This Row],[Approx Per Unit Cost]]</f>
        <v>3</v>
      </c>
      <c r="G13" t="s">
        <v>65</v>
      </c>
    </row>
    <row r="14" spans="1:7" x14ac:dyDescent="0.25">
      <c r="A14" t="s">
        <v>45</v>
      </c>
      <c r="B14" t="s">
        <v>41</v>
      </c>
      <c r="C14" s="1">
        <v>12</v>
      </c>
      <c r="D14" s="2">
        <v>3</v>
      </c>
      <c r="E14" s="5">
        <v>0.05</v>
      </c>
      <c r="F14" s="4">
        <f>Table335[[#This Row],[QTY]]*Table335[[#This Row],[Approx Per Unit Cost]]</f>
        <v>0.15000000000000002</v>
      </c>
    </row>
    <row r="15" spans="1:7" x14ac:dyDescent="0.25">
      <c r="A15" t="s">
        <v>44</v>
      </c>
      <c r="B15" t="s">
        <v>42</v>
      </c>
      <c r="C15" s="1">
        <v>12</v>
      </c>
      <c r="D15" s="2">
        <v>4</v>
      </c>
      <c r="E15" s="5">
        <v>0.05</v>
      </c>
      <c r="F15" s="4">
        <f>Table335[[#This Row],[QTY]]*Table335[[#This Row],[Approx Per Unit Cost]]</f>
        <v>0.2</v>
      </c>
    </row>
    <row r="17" spans="5:10" x14ac:dyDescent="0.25">
      <c r="E17" s="14" t="s">
        <v>134</v>
      </c>
      <c r="F17" s="3">
        <f>SUM(Table335[Approx Cost])</f>
        <v>54.35</v>
      </c>
    </row>
    <row r="25" spans="5:10" x14ac:dyDescent="0.25">
      <c r="J25" s="16">
        <f>3/4</f>
        <v>0.75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85F0-4B38-443A-ADFF-C327CED31F0D}">
  <sheetPr>
    <tabColor rgb="FFFFC000"/>
  </sheetPr>
  <dimension ref="A1:G9"/>
  <sheetViews>
    <sheetView workbookViewId="0">
      <selection activeCell="A6" sqref="A6"/>
    </sheetView>
  </sheetViews>
  <sheetFormatPr defaultRowHeight="15" x14ac:dyDescent="0.25"/>
  <cols>
    <col min="1" max="1" width="45.7109375" bestFit="1" customWidth="1"/>
    <col min="2" max="2" width="74.42578125" bestFit="1" customWidth="1"/>
    <col min="3" max="3" width="12.28515625" style="1" bestFit="1" customWidth="1"/>
    <col min="4" max="4" width="9.140625" style="2" bestFit="1" customWidth="1"/>
    <col min="5" max="5" width="24.42578125" style="2" bestFit="1" customWidth="1"/>
    <col min="6" max="6" width="16.5703125" style="4" bestFit="1" customWidth="1"/>
    <col min="7" max="7" width="98.140625" bestFit="1" customWidth="1"/>
  </cols>
  <sheetData>
    <row r="1" spans="1:7" s="22" customFormat="1" ht="46.5" customHeight="1" x14ac:dyDescent="0.7">
      <c r="A1" s="25" t="s">
        <v>51</v>
      </c>
      <c r="B1" s="25"/>
      <c r="C1" s="25"/>
      <c r="D1" s="25"/>
      <c r="E1" s="25"/>
      <c r="F1" s="25"/>
      <c r="G1" s="25"/>
    </row>
    <row r="2" spans="1:7" s="1" customFormat="1" x14ac:dyDescent="0.25">
      <c r="A2" s="1" t="s">
        <v>0</v>
      </c>
      <c r="B2" s="1" t="s">
        <v>3</v>
      </c>
      <c r="C2" s="1" t="s">
        <v>68</v>
      </c>
      <c r="D2" s="1" t="s">
        <v>2</v>
      </c>
      <c r="E2" s="1" t="s">
        <v>136</v>
      </c>
      <c r="F2" s="3" t="s">
        <v>6</v>
      </c>
      <c r="G2" s="1" t="s">
        <v>1</v>
      </c>
    </row>
    <row r="3" spans="1:7" x14ac:dyDescent="0.25">
      <c r="A3" t="s">
        <v>72</v>
      </c>
      <c r="B3" t="s">
        <v>57</v>
      </c>
      <c r="C3" s="1">
        <v>5</v>
      </c>
      <c r="D3" s="2">
        <v>2</v>
      </c>
      <c r="E3" s="5">
        <v>10</v>
      </c>
      <c r="F3" s="3">
        <f>Table3356[[#This Row],[Approx Per Unit Cost]]*Table3356[[#This Row],[QTY]]</f>
        <v>20</v>
      </c>
      <c r="G3" t="s">
        <v>58</v>
      </c>
    </row>
    <row r="4" spans="1:7" x14ac:dyDescent="0.25">
      <c r="A4" t="s">
        <v>59</v>
      </c>
      <c r="B4" t="s">
        <v>28</v>
      </c>
      <c r="C4" s="1" t="s">
        <v>69</v>
      </c>
      <c r="D4" s="2">
        <v>3</v>
      </c>
      <c r="E4" s="5">
        <v>1.25</v>
      </c>
      <c r="F4" s="3">
        <f>Table3356[[#This Row],[Approx Per Unit Cost]]*Table3356[[#This Row],[QTY]]</f>
        <v>3.75</v>
      </c>
      <c r="G4" t="s">
        <v>61</v>
      </c>
    </row>
    <row r="5" spans="1:7" x14ac:dyDescent="0.25">
      <c r="A5" t="s">
        <v>201</v>
      </c>
      <c r="B5" t="s">
        <v>54</v>
      </c>
      <c r="C5" s="1" t="s">
        <v>69</v>
      </c>
      <c r="D5" s="2">
        <v>1</v>
      </c>
      <c r="E5" s="5">
        <v>10</v>
      </c>
      <c r="F5" s="3">
        <f>Table3356[[#This Row],[Approx Per Unit Cost]]*Table3356[[#This Row],[QTY]]</f>
        <v>10</v>
      </c>
      <c r="G5" t="s">
        <v>202</v>
      </c>
    </row>
    <row r="6" spans="1:7" x14ac:dyDescent="0.25">
      <c r="A6" t="s">
        <v>26</v>
      </c>
      <c r="B6" t="s">
        <v>70</v>
      </c>
      <c r="C6" s="1" t="s">
        <v>69</v>
      </c>
      <c r="D6" s="2">
        <v>4</v>
      </c>
      <c r="E6" s="5">
        <v>0.3</v>
      </c>
      <c r="F6" s="3">
        <f>Table3356[[#This Row],[Approx Per Unit Cost]]*Table3356[[#This Row],[QTY]]</f>
        <v>1.2</v>
      </c>
      <c r="G6" t="s">
        <v>60</v>
      </c>
    </row>
    <row r="7" spans="1:7" x14ac:dyDescent="0.25">
      <c r="A7" t="s">
        <v>62</v>
      </c>
      <c r="B7" t="s">
        <v>63</v>
      </c>
      <c r="C7" s="1">
        <v>5</v>
      </c>
      <c r="D7" s="2">
        <v>2</v>
      </c>
      <c r="E7" s="5">
        <v>0.05</v>
      </c>
      <c r="F7" s="3">
        <f>Table3356[[#This Row],[Approx Per Unit Cost]]*Table3356[[#This Row],[QTY]]</f>
        <v>0.1</v>
      </c>
      <c r="G7" t="s">
        <v>64</v>
      </c>
    </row>
    <row r="8" spans="1:7" x14ac:dyDescent="0.25">
      <c r="F8" s="3"/>
    </row>
    <row r="9" spans="1:7" x14ac:dyDescent="0.25">
      <c r="E9" s="14" t="s">
        <v>137</v>
      </c>
      <c r="F9" s="3">
        <f>SUM(Table3356[Approx Cost])</f>
        <v>35.050000000000004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CE2EE-AD17-483F-8B46-563B8ABCBB63}">
  <sheetPr>
    <tabColor rgb="FFFFC000"/>
  </sheetPr>
  <dimension ref="A1:G16"/>
  <sheetViews>
    <sheetView workbookViewId="0">
      <selection activeCell="A10" sqref="A10"/>
    </sheetView>
  </sheetViews>
  <sheetFormatPr defaultRowHeight="15" x14ac:dyDescent="0.25"/>
  <cols>
    <col min="1" max="1" width="45.7109375" bestFit="1" customWidth="1"/>
    <col min="2" max="2" width="74.42578125" bestFit="1" customWidth="1"/>
    <col min="3" max="3" width="12.28515625" style="2" bestFit="1" customWidth="1"/>
    <col min="4" max="4" width="9.140625" style="9" bestFit="1" customWidth="1"/>
    <col min="5" max="5" width="24.42578125" style="9" bestFit="1" customWidth="1"/>
    <col min="6" max="6" width="16.5703125" style="4" bestFit="1" customWidth="1"/>
    <col min="7" max="7" width="98.7109375" bestFit="1" customWidth="1"/>
  </cols>
  <sheetData>
    <row r="1" spans="1:7" ht="46.5" customHeight="1" x14ac:dyDescent="0.25">
      <c r="A1" s="25" t="s">
        <v>52</v>
      </c>
      <c r="B1" s="25"/>
      <c r="C1" s="25"/>
      <c r="D1" s="25"/>
      <c r="E1" s="25"/>
      <c r="F1" s="25"/>
      <c r="G1" s="25"/>
    </row>
    <row r="2" spans="1:7" s="1" customFormat="1" x14ac:dyDescent="0.25">
      <c r="A2" s="1" t="s">
        <v>0</v>
      </c>
      <c r="B2" s="1" t="s">
        <v>3</v>
      </c>
      <c r="C2" s="2" t="s">
        <v>68</v>
      </c>
      <c r="D2" s="8" t="s">
        <v>2</v>
      </c>
      <c r="E2" s="8" t="s">
        <v>136</v>
      </c>
      <c r="F2" s="3" t="s">
        <v>6</v>
      </c>
      <c r="G2" s="1" t="s">
        <v>1</v>
      </c>
    </row>
    <row r="3" spans="1:7" x14ac:dyDescent="0.25">
      <c r="A3" t="s">
        <v>13</v>
      </c>
      <c r="B3" t="s">
        <v>20</v>
      </c>
      <c r="C3" s="2">
        <v>12</v>
      </c>
      <c r="D3" s="9">
        <v>2</v>
      </c>
      <c r="E3" s="5">
        <v>2.5</v>
      </c>
      <c r="F3" s="4">
        <f>Table33567[[#This Row],[Approx Per Unit Cost]]*Table33567[[#This Row],[QTY]]</f>
        <v>5</v>
      </c>
      <c r="G3" s="7"/>
    </row>
    <row r="4" spans="1:7" x14ac:dyDescent="0.25">
      <c r="A4" t="s">
        <v>33</v>
      </c>
      <c r="B4" t="s">
        <v>34</v>
      </c>
      <c r="C4" s="2" t="s">
        <v>69</v>
      </c>
      <c r="D4" s="9">
        <v>2</v>
      </c>
      <c r="E4" s="5">
        <v>0.75</v>
      </c>
      <c r="F4" s="4">
        <f>Table33567[[#This Row],[Approx Per Unit Cost]]*Table33567[[#This Row],[QTY]]</f>
        <v>1.5</v>
      </c>
      <c r="G4" s="7"/>
    </row>
    <row r="5" spans="1:7" x14ac:dyDescent="0.25">
      <c r="A5" t="s">
        <v>66</v>
      </c>
      <c r="B5" t="s">
        <v>20</v>
      </c>
      <c r="C5" s="2">
        <v>5</v>
      </c>
      <c r="D5" s="9">
        <v>2</v>
      </c>
      <c r="E5" s="5">
        <v>10</v>
      </c>
      <c r="F5" s="4">
        <f>Table33567[[#This Row],[Approx Per Unit Cost]]*Table33567[[#This Row],[QTY]]</f>
        <v>20</v>
      </c>
      <c r="G5" s="7"/>
    </row>
    <row r="6" spans="1:7" x14ac:dyDescent="0.25">
      <c r="A6" t="s">
        <v>67</v>
      </c>
      <c r="B6" t="s">
        <v>34</v>
      </c>
      <c r="C6" s="2" t="s">
        <v>69</v>
      </c>
      <c r="D6" s="9">
        <v>2</v>
      </c>
      <c r="E6" s="5">
        <v>1</v>
      </c>
      <c r="F6" s="4">
        <f>Table33567[[#This Row],[Approx Per Unit Cost]]*Table33567[[#This Row],[QTY]]</f>
        <v>2</v>
      </c>
      <c r="G6" s="7"/>
    </row>
    <row r="7" spans="1:7" x14ac:dyDescent="0.25">
      <c r="A7" t="s">
        <v>14</v>
      </c>
      <c r="B7" t="s">
        <v>20</v>
      </c>
      <c r="C7" s="2">
        <v>5</v>
      </c>
      <c r="D7" s="9">
        <v>7</v>
      </c>
      <c r="E7" s="5">
        <v>2</v>
      </c>
      <c r="F7" s="4">
        <f>Table33567[[#This Row],[Approx Per Unit Cost]]*Table33567[[#This Row],[QTY]]</f>
        <v>14</v>
      </c>
      <c r="G7" s="7"/>
    </row>
    <row r="8" spans="1:7" x14ac:dyDescent="0.25">
      <c r="A8" t="s">
        <v>24</v>
      </c>
      <c r="B8" t="s">
        <v>28</v>
      </c>
      <c r="C8" s="2" t="s">
        <v>69</v>
      </c>
      <c r="D8" s="9">
        <v>2</v>
      </c>
      <c r="E8" s="5">
        <v>1.25</v>
      </c>
      <c r="F8" s="4">
        <f>Table33567[[#This Row],[Approx Per Unit Cost]]*Table33567[[#This Row],[QTY]]</f>
        <v>2.5</v>
      </c>
      <c r="G8" s="7"/>
    </row>
    <row r="9" spans="1:7" x14ac:dyDescent="0.25">
      <c r="A9" t="s">
        <v>201</v>
      </c>
      <c r="B9" t="s">
        <v>54</v>
      </c>
      <c r="C9" s="2" t="s">
        <v>69</v>
      </c>
      <c r="D9" s="9">
        <v>1</v>
      </c>
      <c r="E9" s="5">
        <v>10</v>
      </c>
      <c r="F9" s="4">
        <f>Table33567[[#This Row],[Approx Per Unit Cost]]*Table33567[[#This Row],[QTY]]</f>
        <v>10</v>
      </c>
      <c r="G9" s="7" t="s">
        <v>202</v>
      </c>
    </row>
    <row r="10" spans="1:7" x14ac:dyDescent="0.25">
      <c r="A10" t="s">
        <v>27</v>
      </c>
      <c r="B10" t="s">
        <v>53</v>
      </c>
      <c r="C10" s="2" t="s">
        <v>69</v>
      </c>
      <c r="D10" s="9">
        <v>1</v>
      </c>
      <c r="E10" s="5">
        <v>1</v>
      </c>
      <c r="F10" s="4">
        <f>Table33567[[#This Row],[Approx Per Unit Cost]]*Table33567[[#This Row],[QTY]]</f>
        <v>1</v>
      </c>
      <c r="G10" s="7" t="s">
        <v>48</v>
      </c>
    </row>
    <row r="11" spans="1:7" x14ac:dyDescent="0.25">
      <c r="A11" t="s">
        <v>32</v>
      </c>
      <c r="B11" t="s">
        <v>53</v>
      </c>
      <c r="C11" s="2" t="s">
        <v>69</v>
      </c>
      <c r="D11" s="9">
        <v>1</v>
      </c>
      <c r="E11" s="5">
        <v>1</v>
      </c>
      <c r="F11" s="4">
        <f>Table33567[[#This Row],[Approx Per Unit Cost]]*Table33567[[#This Row],[QTY]]</f>
        <v>1</v>
      </c>
      <c r="G11" s="7" t="s">
        <v>48</v>
      </c>
    </row>
    <row r="12" spans="1:7" x14ac:dyDescent="0.25">
      <c r="A12" t="s">
        <v>62</v>
      </c>
      <c r="B12" t="s">
        <v>63</v>
      </c>
      <c r="C12" s="2">
        <v>5</v>
      </c>
      <c r="D12" s="9">
        <v>6</v>
      </c>
      <c r="E12" s="5">
        <v>0.05</v>
      </c>
      <c r="F12" s="4">
        <f>Table33567[[#This Row],[Approx Per Unit Cost]]*Table33567[[#This Row],[QTY]]</f>
        <v>0.30000000000000004</v>
      </c>
      <c r="G12" t="s">
        <v>64</v>
      </c>
    </row>
    <row r="13" spans="1:7" x14ac:dyDescent="0.25">
      <c r="A13" t="s">
        <v>44</v>
      </c>
      <c r="B13" t="s">
        <v>42</v>
      </c>
      <c r="C13" s="1">
        <v>12</v>
      </c>
      <c r="D13" s="9">
        <v>4</v>
      </c>
      <c r="E13" s="5">
        <v>0.05</v>
      </c>
      <c r="F13" s="4">
        <f>Table33567[[#This Row],[Approx Per Unit Cost]]*Table33567[[#This Row],[QTY]]</f>
        <v>0.2</v>
      </c>
    </row>
    <row r="14" spans="1:7" x14ac:dyDescent="0.25">
      <c r="A14" t="s">
        <v>26</v>
      </c>
      <c r="B14" t="s">
        <v>70</v>
      </c>
      <c r="C14" s="2" t="s">
        <v>69</v>
      </c>
      <c r="D14" s="9">
        <v>1</v>
      </c>
      <c r="E14" s="5">
        <v>0.3</v>
      </c>
      <c r="F14" s="4">
        <f>Table33567[[#This Row],[Approx Per Unit Cost]]*Table33567[[#This Row],[QTY]]</f>
        <v>0.3</v>
      </c>
      <c r="G14" s="7" t="s">
        <v>50</v>
      </c>
    </row>
    <row r="16" spans="1:7" x14ac:dyDescent="0.25">
      <c r="E16" s="17" t="s">
        <v>137</v>
      </c>
      <c r="F16" s="4">
        <f>SUM(Table33567[Approx Cost])</f>
        <v>57.8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DE24-B6DD-4676-BAB8-2FF6BFD006BE}">
  <sheetPr>
    <tabColor rgb="FFFFFF00"/>
  </sheetPr>
  <dimension ref="A1:F8"/>
  <sheetViews>
    <sheetView workbookViewId="0">
      <selection sqref="A1:F1"/>
    </sheetView>
  </sheetViews>
  <sheetFormatPr defaultRowHeight="15" x14ac:dyDescent="0.25"/>
  <cols>
    <col min="1" max="1" width="45.7109375" bestFit="1" customWidth="1"/>
    <col min="2" max="2" width="74.42578125" bestFit="1" customWidth="1"/>
    <col min="3" max="3" width="9.140625" style="9" bestFit="1" customWidth="1"/>
    <col min="4" max="4" width="24.42578125" style="9" bestFit="1" customWidth="1"/>
    <col min="5" max="5" width="16.5703125" style="4" bestFit="1" customWidth="1"/>
    <col min="6" max="6" width="98.7109375" bestFit="1" customWidth="1"/>
  </cols>
  <sheetData>
    <row r="1" spans="1:6" ht="46.5" customHeight="1" x14ac:dyDescent="0.25">
      <c r="A1" s="25" t="s">
        <v>128</v>
      </c>
      <c r="B1" s="25"/>
      <c r="C1" s="25"/>
      <c r="D1" s="25"/>
      <c r="E1" s="25"/>
      <c r="F1" s="25"/>
    </row>
    <row r="2" spans="1:6" s="1" customFormat="1" x14ac:dyDescent="0.25">
      <c r="A2" s="1" t="s">
        <v>0</v>
      </c>
      <c r="B2" s="1" t="s">
        <v>3</v>
      </c>
      <c r="C2" s="8" t="s">
        <v>2</v>
      </c>
      <c r="D2" s="8" t="s">
        <v>136</v>
      </c>
      <c r="E2" s="3" t="s">
        <v>6</v>
      </c>
      <c r="F2" s="1" t="s">
        <v>1</v>
      </c>
    </row>
    <row r="3" spans="1:6" x14ac:dyDescent="0.25">
      <c r="A3" t="s">
        <v>138</v>
      </c>
      <c r="B3" t="s">
        <v>139</v>
      </c>
      <c r="C3" s="9">
        <v>20</v>
      </c>
      <c r="D3" s="5">
        <v>0.15</v>
      </c>
      <c r="E3" s="4">
        <f>Table335678910111213[[#This Row],[Approx Per Unit Cost]]*Table335678910111213[[#This Row],[QTY]]</f>
        <v>3</v>
      </c>
      <c r="F3" t="s">
        <v>140</v>
      </c>
    </row>
    <row r="4" spans="1:6" x14ac:dyDescent="0.25">
      <c r="A4" t="s">
        <v>141</v>
      </c>
      <c r="B4" t="s">
        <v>130</v>
      </c>
      <c r="C4" s="9">
        <v>20</v>
      </c>
      <c r="D4" s="5">
        <v>0.05</v>
      </c>
      <c r="E4" s="4">
        <f>Table335678910111213[[#This Row],[Approx Per Unit Cost]]*Table335678910111213[[#This Row],[QTY]]</f>
        <v>1</v>
      </c>
      <c r="F4" t="s">
        <v>142</v>
      </c>
    </row>
    <row r="5" spans="1:6" x14ac:dyDescent="0.25">
      <c r="A5" t="s">
        <v>143</v>
      </c>
      <c r="B5" t="s">
        <v>130</v>
      </c>
      <c r="C5" s="9">
        <v>20</v>
      </c>
      <c r="D5" s="5">
        <v>0.25</v>
      </c>
      <c r="E5" s="4">
        <f>Table335678910111213[[#This Row],[Approx Per Unit Cost]]*Table335678910111213[[#This Row],[QTY]]</f>
        <v>5</v>
      </c>
      <c r="F5" s="7" t="s">
        <v>142</v>
      </c>
    </row>
    <row r="6" spans="1:6" x14ac:dyDescent="0.25">
      <c r="A6" t="s">
        <v>74</v>
      </c>
      <c r="B6" t="s">
        <v>129</v>
      </c>
      <c r="C6" s="9">
        <v>1</v>
      </c>
      <c r="D6" s="5">
        <v>30</v>
      </c>
      <c r="E6" s="4">
        <f>Table335678910111213[[#This Row],[Approx Per Unit Cost]]*Table335678910111213[[#This Row],[QTY]]</f>
        <v>30</v>
      </c>
      <c r="F6" s="7" t="s">
        <v>144</v>
      </c>
    </row>
    <row r="8" spans="1:6" x14ac:dyDescent="0.25">
      <c r="D8" s="9" t="s">
        <v>137</v>
      </c>
      <c r="E8" s="4">
        <f>SUM(Table335678910111213[Approx Cost])</f>
        <v>39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E7EED-8746-4E5A-89E5-D8527D976A44}">
  <sheetPr>
    <tabColor rgb="FFFFFF00"/>
  </sheetPr>
  <dimension ref="A1:F4"/>
  <sheetViews>
    <sheetView workbookViewId="0">
      <selection activeCell="E8" sqref="E8"/>
    </sheetView>
  </sheetViews>
  <sheetFormatPr defaultRowHeight="15" x14ac:dyDescent="0.25"/>
  <cols>
    <col min="1" max="1" width="45.7109375" bestFit="1" customWidth="1"/>
    <col min="2" max="2" width="74.42578125" bestFit="1" customWidth="1"/>
    <col min="3" max="3" width="9.140625" style="9" bestFit="1" customWidth="1"/>
    <col min="4" max="4" width="24.42578125" style="9" bestFit="1" customWidth="1"/>
    <col min="5" max="5" width="16.5703125" style="4" bestFit="1" customWidth="1"/>
    <col min="6" max="6" width="98.7109375" bestFit="1" customWidth="1"/>
  </cols>
  <sheetData>
    <row r="1" spans="1:6" ht="46.5" customHeight="1" x14ac:dyDescent="0.25">
      <c r="A1" s="25" t="s">
        <v>207</v>
      </c>
      <c r="B1" s="25"/>
      <c r="C1" s="25"/>
      <c r="D1" s="25"/>
      <c r="E1" s="25"/>
      <c r="F1" s="25"/>
    </row>
    <row r="2" spans="1:6" s="1" customFormat="1" x14ac:dyDescent="0.25">
      <c r="A2" s="1" t="s">
        <v>0</v>
      </c>
      <c r="B2" s="1" t="s">
        <v>3</v>
      </c>
      <c r="C2" s="8" t="s">
        <v>2</v>
      </c>
      <c r="D2" s="8" t="s">
        <v>136</v>
      </c>
      <c r="E2" s="3" t="s">
        <v>6</v>
      </c>
      <c r="F2" s="1" t="s">
        <v>1</v>
      </c>
    </row>
    <row r="3" spans="1:6" x14ac:dyDescent="0.25">
      <c r="A3" t="s">
        <v>203</v>
      </c>
      <c r="C3" s="9">
        <v>4</v>
      </c>
      <c r="D3" s="5">
        <v>8</v>
      </c>
      <c r="E3" s="4">
        <f>Table33567891011121315[[#This Row],[Approx Per Unit Cost]]*Table33567891011121315[[#This Row],[QTY]]</f>
        <v>32</v>
      </c>
      <c r="F3" s="7" t="s">
        <v>204</v>
      </c>
    </row>
    <row r="4" spans="1:6" x14ac:dyDescent="0.25">
      <c r="D4" s="9" t="s">
        <v>137</v>
      </c>
      <c r="E4" s="4">
        <f>SUM(Table33567891011121315[Approx Cost])</f>
        <v>32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9F04D-D304-44E8-8FFD-ED96866CC7BD}">
  <sheetPr>
    <tabColor rgb="FFFFFF00"/>
  </sheetPr>
  <dimension ref="A1:F6"/>
  <sheetViews>
    <sheetView workbookViewId="0">
      <selection activeCell="D23" sqref="D23"/>
    </sheetView>
  </sheetViews>
  <sheetFormatPr defaultRowHeight="15" x14ac:dyDescent="0.25"/>
  <cols>
    <col min="1" max="1" width="45.7109375" bestFit="1" customWidth="1"/>
    <col min="2" max="2" width="74.42578125" bestFit="1" customWidth="1"/>
    <col min="3" max="3" width="9.140625" style="9" bestFit="1" customWidth="1"/>
    <col min="4" max="4" width="24.42578125" style="9" bestFit="1" customWidth="1"/>
    <col min="5" max="5" width="16.5703125" style="4" bestFit="1" customWidth="1"/>
    <col min="6" max="6" width="98.7109375" bestFit="1" customWidth="1"/>
  </cols>
  <sheetData>
    <row r="1" spans="1:6" ht="46.5" customHeight="1" x14ac:dyDescent="0.25">
      <c r="A1" s="25" t="s">
        <v>206</v>
      </c>
      <c r="B1" s="25"/>
      <c r="C1" s="25"/>
      <c r="D1" s="25"/>
      <c r="E1" s="25"/>
      <c r="F1" s="25"/>
    </row>
    <row r="2" spans="1:6" s="1" customFormat="1" x14ac:dyDescent="0.25">
      <c r="A2" s="1" t="s">
        <v>0</v>
      </c>
      <c r="B2" s="1" t="s">
        <v>3</v>
      </c>
      <c r="C2" s="8" t="s">
        <v>2</v>
      </c>
      <c r="D2" s="8" t="s">
        <v>136</v>
      </c>
      <c r="E2" s="3" t="s">
        <v>6</v>
      </c>
      <c r="F2" s="1" t="s">
        <v>1</v>
      </c>
    </row>
    <row r="3" spans="1:6" x14ac:dyDescent="0.25">
      <c r="A3" t="s">
        <v>232</v>
      </c>
      <c r="B3" t="s">
        <v>233</v>
      </c>
      <c r="C3" s="9">
        <v>1</v>
      </c>
      <c r="D3" s="5">
        <v>25</v>
      </c>
      <c r="E3" s="4">
        <f>Table3356789101112131516[[#This Row],[Approx Per Unit Cost]]*Table3356789101112131516[[#This Row],[QTY]]</f>
        <v>25</v>
      </c>
      <c r="F3" s="7" t="s">
        <v>237</v>
      </c>
    </row>
    <row r="4" spans="1:6" x14ac:dyDescent="0.25">
      <c r="A4" t="s">
        <v>203</v>
      </c>
      <c r="B4" t="s">
        <v>129</v>
      </c>
      <c r="C4" s="9">
        <v>2</v>
      </c>
      <c r="D4" s="5">
        <v>8</v>
      </c>
      <c r="E4" s="4">
        <f>Table3356789101112131516[[#This Row],[Approx Per Unit Cost]]*Table3356789101112131516[[#This Row],[QTY]]</f>
        <v>16</v>
      </c>
      <c r="F4" s="7" t="s">
        <v>204</v>
      </c>
    </row>
    <row r="6" spans="1:6" x14ac:dyDescent="0.25">
      <c r="D6" s="9" t="s">
        <v>137</v>
      </c>
      <c r="E6" s="4">
        <f>SUM(Table3356789101112131516[Approx Cost])</f>
        <v>41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DA556-EE72-452A-857F-DFDB7F4B78B6}">
  <sheetPr>
    <tabColor rgb="FFFFFF00"/>
  </sheetPr>
  <dimension ref="A1:F6"/>
  <sheetViews>
    <sheetView workbookViewId="0">
      <selection activeCell="F26" sqref="F26"/>
    </sheetView>
  </sheetViews>
  <sheetFormatPr defaultRowHeight="15" x14ac:dyDescent="0.25"/>
  <cols>
    <col min="1" max="1" width="45.7109375" bestFit="1" customWidth="1"/>
    <col min="2" max="2" width="74.42578125" bestFit="1" customWidth="1"/>
    <col min="3" max="3" width="9.140625" style="9" bestFit="1" customWidth="1"/>
    <col min="4" max="4" width="24.42578125" style="9" bestFit="1" customWidth="1"/>
    <col min="5" max="5" width="16.5703125" style="4" bestFit="1" customWidth="1"/>
    <col min="6" max="6" width="98.7109375" bestFit="1" customWidth="1"/>
  </cols>
  <sheetData>
    <row r="1" spans="1:6" ht="46.5" customHeight="1" x14ac:dyDescent="0.25">
      <c r="A1" s="25" t="s">
        <v>205</v>
      </c>
      <c r="B1" s="25"/>
      <c r="C1" s="25"/>
      <c r="D1" s="25"/>
      <c r="E1" s="25"/>
      <c r="F1" s="25"/>
    </row>
    <row r="2" spans="1:6" s="1" customFormat="1" x14ac:dyDescent="0.25">
      <c r="A2" s="1" t="s">
        <v>0</v>
      </c>
      <c r="B2" s="1" t="s">
        <v>3</v>
      </c>
      <c r="C2" s="8" t="s">
        <v>2</v>
      </c>
      <c r="D2" s="8" t="s">
        <v>136</v>
      </c>
      <c r="E2" s="3" t="s">
        <v>6</v>
      </c>
      <c r="F2" s="1" t="s">
        <v>1</v>
      </c>
    </row>
    <row r="3" spans="1:6" x14ac:dyDescent="0.25">
      <c r="A3" t="s">
        <v>238</v>
      </c>
      <c r="B3" t="s">
        <v>239</v>
      </c>
      <c r="C3" s="9">
        <v>18</v>
      </c>
      <c r="D3" s="5">
        <v>0.75</v>
      </c>
      <c r="E3" s="4">
        <f>Table335678910111213151617[[#This Row],[Approx Per Unit Cost]]*Table335678910111213151617[[#This Row],[QTY]]</f>
        <v>13.5</v>
      </c>
      <c r="F3" s="7" t="s">
        <v>240</v>
      </c>
    </row>
    <row r="4" spans="1:6" x14ac:dyDescent="0.25">
      <c r="A4" t="s">
        <v>203</v>
      </c>
      <c r="C4" s="9">
        <v>2</v>
      </c>
      <c r="D4" s="5">
        <v>8</v>
      </c>
      <c r="E4" s="4">
        <f>Table335678910111213151617[[#This Row],[Approx Per Unit Cost]]*Table335678910111213151617[[#This Row],[QTY]]</f>
        <v>16</v>
      </c>
      <c r="F4" s="7" t="s">
        <v>202</v>
      </c>
    </row>
    <row r="6" spans="1:6" x14ac:dyDescent="0.25">
      <c r="D6" s="9" t="s">
        <v>137</v>
      </c>
      <c r="E6" s="4">
        <f>SUM(Table335678910111213151617[Approx Cost])</f>
        <v>29.5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C8304-39B2-488E-8EA5-FE8D0AC3BDFC}">
  <sheetPr>
    <tabColor rgb="FFFFFF00"/>
  </sheetPr>
  <dimension ref="A1:F17"/>
  <sheetViews>
    <sheetView workbookViewId="0">
      <selection activeCell="B37" sqref="B37"/>
    </sheetView>
  </sheetViews>
  <sheetFormatPr defaultRowHeight="15" x14ac:dyDescent="0.25"/>
  <cols>
    <col min="1" max="1" width="45.7109375" bestFit="1" customWidth="1"/>
    <col min="2" max="2" width="74.42578125" bestFit="1" customWidth="1"/>
    <col min="3" max="3" width="9.140625" style="9" bestFit="1" customWidth="1"/>
    <col min="4" max="4" width="24.42578125" style="9" bestFit="1" customWidth="1"/>
    <col min="5" max="5" width="16.5703125" style="4" bestFit="1" customWidth="1"/>
    <col min="6" max="6" width="98.7109375" bestFit="1" customWidth="1"/>
  </cols>
  <sheetData>
    <row r="1" spans="1:6" ht="46.5" customHeight="1" x14ac:dyDescent="0.25">
      <c r="A1" s="25" t="s">
        <v>132</v>
      </c>
      <c r="B1" s="25"/>
      <c r="C1" s="25"/>
      <c r="D1" s="25"/>
      <c r="E1" s="25"/>
      <c r="F1" s="25"/>
    </row>
    <row r="2" spans="1:6" s="1" customFormat="1" x14ac:dyDescent="0.25">
      <c r="A2" s="1" t="s">
        <v>0</v>
      </c>
      <c r="B2" s="1" t="s">
        <v>3</v>
      </c>
      <c r="C2" s="8" t="s">
        <v>2</v>
      </c>
      <c r="D2" s="8" t="s">
        <v>147</v>
      </c>
      <c r="E2" s="3" t="s">
        <v>6</v>
      </c>
      <c r="F2" s="1" t="s">
        <v>1</v>
      </c>
    </row>
    <row r="3" spans="1:6" x14ac:dyDescent="0.25">
      <c r="A3" t="s">
        <v>150</v>
      </c>
      <c r="B3" t="s">
        <v>151</v>
      </c>
      <c r="C3" s="9">
        <v>2</v>
      </c>
      <c r="D3" s="5">
        <v>0.1</v>
      </c>
      <c r="E3" s="3">
        <f>Table33567891011121314[[#This Row],[Approx Cost Per Unit]]*Table33567891011121314[[#This Row],[QTY]]</f>
        <v>0.2</v>
      </c>
      <c r="F3" t="s">
        <v>152</v>
      </c>
    </row>
    <row r="4" spans="1:6" x14ac:dyDescent="0.25">
      <c r="A4" t="s">
        <v>216</v>
      </c>
      <c r="B4" t="s">
        <v>148</v>
      </c>
      <c r="C4" s="9">
        <v>1</v>
      </c>
      <c r="D4" s="5">
        <v>5</v>
      </c>
      <c r="E4" s="3">
        <f>Table33567891011121314[[#This Row],[Approx Cost Per Unit]]*Table33567891011121314[[#This Row],[QTY]]</f>
        <v>5</v>
      </c>
      <c r="F4" s="7" t="s">
        <v>157</v>
      </c>
    </row>
    <row r="5" spans="1:6" x14ac:dyDescent="0.25">
      <c r="A5" t="s">
        <v>214</v>
      </c>
      <c r="B5" t="s">
        <v>148</v>
      </c>
      <c r="C5" s="9">
        <v>2</v>
      </c>
      <c r="D5" s="5">
        <v>5</v>
      </c>
      <c r="E5" s="3">
        <f>Table33567891011121314[[#This Row],[Approx Cost Per Unit]]*Table33567891011121314[[#This Row],[QTY]]</f>
        <v>10</v>
      </c>
      <c r="F5" s="7" t="s">
        <v>157</v>
      </c>
    </row>
    <row r="6" spans="1:6" x14ac:dyDescent="0.25">
      <c r="A6" t="s">
        <v>210</v>
      </c>
      <c r="B6" t="s">
        <v>153</v>
      </c>
      <c r="C6" s="9">
        <v>4</v>
      </c>
      <c r="D6" s="5">
        <v>0.1</v>
      </c>
      <c r="E6" s="3">
        <f>Table33567891011121314[[#This Row],[Approx Cost Per Unit]]*Table33567891011121314[[#This Row],[QTY]]</f>
        <v>0.4</v>
      </c>
      <c r="F6" s="7" t="s">
        <v>156</v>
      </c>
    </row>
    <row r="7" spans="1:6" x14ac:dyDescent="0.25">
      <c r="A7" t="s">
        <v>213</v>
      </c>
      <c r="B7" t="s">
        <v>146</v>
      </c>
      <c r="C7" s="9">
        <v>16</v>
      </c>
      <c r="D7" s="5">
        <v>0.1</v>
      </c>
      <c r="E7" s="3">
        <f>Table33567891011121314[[#This Row],[Approx Cost Per Unit]]*Table33567891011121314[[#This Row],[QTY]]</f>
        <v>1.6</v>
      </c>
      <c r="F7" s="7" t="s">
        <v>155</v>
      </c>
    </row>
    <row r="8" spans="1:6" x14ac:dyDescent="0.25">
      <c r="A8" t="s">
        <v>212</v>
      </c>
      <c r="B8" t="s">
        <v>146</v>
      </c>
      <c r="C8" s="9">
        <v>10</v>
      </c>
      <c r="D8" s="5">
        <v>0.1</v>
      </c>
      <c r="E8" s="3">
        <f>Table33567891011121314[[#This Row],[Approx Cost Per Unit]]*Table33567891011121314[[#This Row],[QTY]]</f>
        <v>1</v>
      </c>
      <c r="F8" s="7" t="s">
        <v>154</v>
      </c>
    </row>
    <row r="9" spans="1:6" x14ac:dyDescent="0.25">
      <c r="A9" t="s">
        <v>145</v>
      </c>
      <c r="B9" t="s">
        <v>146</v>
      </c>
      <c r="C9" s="9">
        <v>16</v>
      </c>
      <c r="D9" s="5">
        <v>0.1</v>
      </c>
      <c r="E9" s="3">
        <f>Table33567891011121314[[#This Row],[Approx Cost Per Unit]]*Table33567891011121314[[#This Row],[QTY]]</f>
        <v>1.6</v>
      </c>
      <c r="F9" s="7" t="s">
        <v>149</v>
      </c>
    </row>
    <row r="10" spans="1:6" x14ac:dyDescent="0.25">
      <c r="A10" t="s">
        <v>217</v>
      </c>
      <c r="B10" t="s">
        <v>148</v>
      </c>
      <c r="C10" s="9">
        <v>1</v>
      </c>
      <c r="D10" s="5">
        <v>5</v>
      </c>
      <c r="E10" s="3">
        <f>Table33567891011121314[[#This Row],[Approx Cost Per Unit]]*Table33567891011121314[[#This Row],[QTY]]</f>
        <v>5</v>
      </c>
      <c r="F10" s="7" t="s">
        <v>157</v>
      </c>
    </row>
    <row r="11" spans="1:6" x14ac:dyDescent="0.25">
      <c r="A11" t="s">
        <v>215</v>
      </c>
      <c r="B11" t="s">
        <v>148</v>
      </c>
      <c r="C11" s="9">
        <v>2</v>
      </c>
      <c r="D11" s="5">
        <v>5</v>
      </c>
      <c r="E11" s="3">
        <f>Table33567891011121314[[#This Row],[Approx Cost Per Unit]]*Table33567891011121314[[#This Row],[QTY]]</f>
        <v>10</v>
      </c>
      <c r="F11" s="7" t="s">
        <v>157</v>
      </c>
    </row>
    <row r="12" spans="1:6" x14ac:dyDescent="0.25">
      <c r="A12" t="s">
        <v>211</v>
      </c>
      <c r="B12" t="s">
        <v>153</v>
      </c>
      <c r="C12" s="9">
        <v>8</v>
      </c>
      <c r="D12" s="5">
        <v>0.05</v>
      </c>
      <c r="E12" s="3">
        <f>Table33567891011121314[[#This Row],[Approx Cost Per Unit]]*Table33567891011121314[[#This Row],[QTY]]</f>
        <v>0.4</v>
      </c>
      <c r="F12" s="7" t="s">
        <v>69</v>
      </c>
    </row>
    <row r="13" spans="1:6" x14ac:dyDescent="0.25">
      <c r="A13" t="s">
        <v>208</v>
      </c>
      <c r="B13" t="s">
        <v>146</v>
      </c>
      <c r="C13" s="9">
        <v>20</v>
      </c>
      <c r="D13" s="5">
        <v>0.05</v>
      </c>
      <c r="E13" s="3">
        <f>Table33567891011121314[[#This Row],[Approx Cost Per Unit]]*Table33567891011121314[[#This Row],[QTY]]</f>
        <v>1</v>
      </c>
      <c r="F13" s="7" t="s">
        <v>69</v>
      </c>
    </row>
    <row r="14" spans="1:6" x14ac:dyDescent="0.25">
      <c r="A14" t="s">
        <v>209</v>
      </c>
      <c r="B14" t="s">
        <v>146</v>
      </c>
      <c r="C14" s="9">
        <v>10</v>
      </c>
      <c r="D14" s="5">
        <v>0.25</v>
      </c>
      <c r="E14" s="3">
        <f>Table33567891011121314[[#This Row],[Approx Cost Per Unit]]*Table33567891011121314[[#This Row],[QTY]]</f>
        <v>2.5</v>
      </c>
      <c r="F14" s="7" t="s">
        <v>69</v>
      </c>
    </row>
    <row r="15" spans="1:6" x14ac:dyDescent="0.25">
      <c r="A15" t="s">
        <v>234</v>
      </c>
      <c r="B15" t="s">
        <v>235</v>
      </c>
      <c r="C15" s="9">
        <v>20</v>
      </c>
      <c r="D15" s="5">
        <v>0.5</v>
      </c>
      <c r="E15" s="3">
        <f>Table33567891011121314[[#This Row],[Approx Cost Per Unit]]*Table33567891011121314[[#This Row],[QTY]]</f>
        <v>10</v>
      </c>
      <c r="F15" s="7" t="s">
        <v>236</v>
      </c>
    </row>
    <row r="17" spans="4:5" x14ac:dyDescent="0.25">
      <c r="D17" s="9" t="s">
        <v>134</v>
      </c>
      <c r="E17" s="4">
        <f>SUM(Table33567891011121314[Approx Cost])</f>
        <v>48.699999999999996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C402D-4F21-4738-84E0-CF5E227AE513}">
  <sheetPr>
    <tabColor rgb="FF00B050"/>
  </sheetPr>
  <dimension ref="A1:F20"/>
  <sheetViews>
    <sheetView workbookViewId="0">
      <selection activeCell="B30" sqref="B30"/>
    </sheetView>
  </sheetViews>
  <sheetFormatPr defaultRowHeight="15" x14ac:dyDescent="0.25"/>
  <cols>
    <col min="1" max="1" width="45.7109375" bestFit="1" customWidth="1"/>
    <col min="2" max="2" width="74.42578125" bestFit="1" customWidth="1"/>
    <col min="3" max="3" width="12.28515625" style="2" bestFit="1" customWidth="1"/>
    <col min="4" max="4" width="24.7109375" style="8" bestFit="1" customWidth="1"/>
    <col min="5" max="5" width="16.5703125" style="3" bestFit="1" customWidth="1"/>
    <col min="6" max="6" width="98.7109375" bestFit="1" customWidth="1"/>
  </cols>
  <sheetData>
    <row r="1" spans="1:6" ht="46.5" customHeight="1" x14ac:dyDescent="0.25">
      <c r="A1" s="25" t="s">
        <v>79</v>
      </c>
      <c r="B1" s="25"/>
      <c r="C1" s="25"/>
      <c r="D1" s="25"/>
      <c r="E1" s="25"/>
      <c r="F1" s="25"/>
    </row>
    <row r="2" spans="1:6" s="1" customFormat="1" x14ac:dyDescent="0.25">
      <c r="A2" s="1" t="s">
        <v>0</v>
      </c>
      <c r="B2" s="1" t="s">
        <v>3</v>
      </c>
      <c r="C2" s="2" t="s">
        <v>2</v>
      </c>
      <c r="D2" s="8" t="s">
        <v>172</v>
      </c>
      <c r="E2" s="3" t="s">
        <v>6</v>
      </c>
      <c r="F2" s="1" t="s">
        <v>1</v>
      </c>
    </row>
    <row r="3" spans="1:6" x14ac:dyDescent="0.25">
      <c r="A3" t="s">
        <v>159</v>
      </c>
      <c r="B3" t="s">
        <v>160</v>
      </c>
      <c r="C3" s="9">
        <v>7</v>
      </c>
      <c r="D3" s="3">
        <v>0.05</v>
      </c>
      <c r="E3" s="3">
        <f>Table335678[[#This Row],[Approx Price Per Unit]]*Table335678[[#This Row],[QTY]]</f>
        <v>0.35000000000000003</v>
      </c>
      <c r="F3" t="s">
        <v>192</v>
      </c>
    </row>
    <row r="4" spans="1:6" x14ac:dyDescent="0.25">
      <c r="A4" t="s">
        <v>196</v>
      </c>
      <c r="B4" t="s">
        <v>184</v>
      </c>
      <c r="C4" s="2">
        <v>1</v>
      </c>
      <c r="D4" s="3">
        <v>0.05</v>
      </c>
      <c r="E4" s="3">
        <f>Table335678[[#This Row],[Approx Price Per Unit]]*Table335678[[#This Row],[QTY]]</f>
        <v>0.05</v>
      </c>
      <c r="F4" s="7" t="s">
        <v>192</v>
      </c>
    </row>
    <row r="5" spans="1:6" x14ac:dyDescent="0.25">
      <c r="A5" t="s">
        <v>194</v>
      </c>
      <c r="B5" t="s">
        <v>184</v>
      </c>
      <c r="C5" s="2">
        <v>1</v>
      </c>
      <c r="D5" s="3">
        <v>0.05</v>
      </c>
      <c r="E5" s="3">
        <f>Table335678[[#This Row],[Approx Price Per Unit]]*Table335678[[#This Row],[QTY]]</f>
        <v>0.05</v>
      </c>
      <c r="F5" s="7" t="s">
        <v>192</v>
      </c>
    </row>
    <row r="6" spans="1:6" x14ac:dyDescent="0.25">
      <c r="A6" t="s">
        <v>193</v>
      </c>
      <c r="B6" t="s">
        <v>184</v>
      </c>
      <c r="C6" s="2">
        <v>1</v>
      </c>
      <c r="D6" s="3">
        <v>0.05</v>
      </c>
      <c r="E6" s="3">
        <f>Table335678[[#This Row],[Approx Price Per Unit]]*Table335678[[#This Row],[QTY]]</f>
        <v>0.05</v>
      </c>
      <c r="F6" s="7" t="s">
        <v>192</v>
      </c>
    </row>
    <row r="7" spans="1:6" x14ac:dyDescent="0.25">
      <c r="A7" t="s">
        <v>161</v>
      </c>
      <c r="B7" t="s">
        <v>162</v>
      </c>
      <c r="C7" s="21">
        <v>2</v>
      </c>
      <c r="D7" s="3">
        <v>0.65</v>
      </c>
      <c r="E7" s="3">
        <f>Table335678[[#This Row],[Approx Price Per Unit]]*Table335678[[#This Row],[QTY]]</f>
        <v>1.3</v>
      </c>
      <c r="F7" t="s">
        <v>191</v>
      </c>
    </row>
    <row r="8" spans="1:6" x14ac:dyDescent="0.25">
      <c r="A8" t="s">
        <v>199</v>
      </c>
      <c r="B8" t="s">
        <v>184</v>
      </c>
      <c r="C8" s="2">
        <v>4</v>
      </c>
      <c r="D8" s="3">
        <v>0.05</v>
      </c>
      <c r="E8" s="3">
        <f>Table335678[[#This Row],[Approx Price Per Unit]]*Table335678[[#This Row],[QTY]]</f>
        <v>0.2</v>
      </c>
      <c r="F8" s="7" t="s">
        <v>192</v>
      </c>
    </row>
    <row r="9" spans="1:6" x14ac:dyDescent="0.25">
      <c r="A9" t="s">
        <v>197</v>
      </c>
      <c r="B9" t="s">
        <v>184</v>
      </c>
      <c r="C9" s="2">
        <v>1</v>
      </c>
      <c r="D9" s="3">
        <v>0.05</v>
      </c>
      <c r="E9" s="3">
        <f>Table335678[[#This Row],[Approx Price Per Unit]]*Table335678[[#This Row],[QTY]]</f>
        <v>0.05</v>
      </c>
      <c r="F9" s="7" t="s">
        <v>192</v>
      </c>
    </row>
    <row r="10" spans="1:6" x14ac:dyDescent="0.25">
      <c r="A10" t="s">
        <v>195</v>
      </c>
      <c r="B10" t="s">
        <v>184</v>
      </c>
      <c r="C10" s="2">
        <v>1</v>
      </c>
      <c r="D10" s="3">
        <v>0.05</v>
      </c>
      <c r="E10" s="3">
        <f>Table335678[[#This Row],[Approx Price Per Unit]]*Table335678[[#This Row],[QTY]]</f>
        <v>0.05</v>
      </c>
      <c r="F10" s="7" t="s">
        <v>192</v>
      </c>
    </row>
    <row r="11" spans="1:6" x14ac:dyDescent="0.25">
      <c r="A11" t="s">
        <v>45</v>
      </c>
      <c r="B11" t="s">
        <v>184</v>
      </c>
      <c r="C11" s="2">
        <v>2</v>
      </c>
      <c r="D11" s="3">
        <v>0.05</v>
      </c>
      <c r="E11" s="3">
        <f>Table335678[[#This Row],[Approx Price Per Unit]]*Table335678[[#This Row],[QTY]]</f>
        <v>0.1</v>
      </c>
      <c r="F11" s="7" t="s">
        <v>192</v>
      </c>
    </row>
    <row r="12" spans="1:6" x14ac:dyDescent="0.25">
      <c r="A12" t="s">
        <v>198</v>
      </c>
      <c r="B12" t="s">
        <v>184</v>
      </c>
      <c r="C12" s="2">
        <v>1</v>
      </c>
      <c r="D12" s="3">
        <v>0.05</v>
      </c>
      <c r="E12" s="3">
        <f>Table335678[[#This Row],[Approx Price Per Unit]]*Table335678[[#This Row],[QTY]]</f>
        <v>0.05</v>
      </c>
      <c r="F12" s="7" t="s">
        <v>192</v>
      </c>
    </row>
    <row r="13" spans="1:6" x14ac:dyDescent="0.25">
      <c r="A13" t="s">
        <v>170</v>
      </c>
      <c r="B13" t="s">
        <v>162</v>
      </c>
      <c r="C13" s="20">
        <v>1</v>
      </c>
      <c r="D13" s="3">
        <v>2.35</v>
      </c>
      <c r="E13" s="3">
        <f>Table335678[[#This Row],[Approx Price Per Unit]]*Table335678[[#This Row],[QTY]]</f>
        <v>2.35</v>
      </c>
      <c r="F13" t="s">
        <v>191</v>
      </c>
    </row>
    <row r="14" spans="1:6" x14ac:dyDescent="0.25">
      <c r="A14" t="s">
        <v>190</v>
      </c>
      <c r="B14" t="s">
        <v>69</v>
      </c>
      <c r="C14" s="2">
        <v>3</v>
      </c>
      <c r="D14" s="3">
        <v>0.3</v>
      </c>
      <c r="E14" s="3">
        <f>Table335678[[#This Row],[Approx Price Per Unit]]*Table335678[[#This Row],[QTY]]</f>
        <v>0.89999999999999991</v>
      </c>
      <c r="F14" s="7" t="s">
        <v>200</v>
      </c>
    </row>
    <row r="15" spans="1:6" x14ac:dyDescent="0.25">
      <c r="A15" t="s">
        <v>173</v>
      </c>
      <c r="B15" t="s">
        <v>174</v>
      </c>
      <c r="C15" s="2">
        <v>2</v>
      </c>
      <c r="D15" s="3">
        <v>0.2</v>
      </c>
      <c r="E15" s="3">
        <f>Table335678[[#This Row],[Approx Price Per Unit]]*Table335678[[#This Row],[QTY]]</f>
        <v>0.4</v>
      </c>
      <c r="F15" s="7" t="s">
        <v>175</v>
      </c>
    </row>
    <row r="16" spans="1:6" x14ac:dyDescent="0.25">
      <c r="A16" t="s">
        <v>176</v>
      </c>
      <c r="B16" t="s">
        <v>177</v>
      </c>
      <c r="C16" s="2">
        <v>2</v>
      </c>
      <c r="D16" s="3">
        <v>0.35</v>
      </c>
      <c r="E16" s="3">
        <f>Table335678[[#This Row],[Approx Price Per Unit]]*Table335678[[#This Row],[QTY]]</f>
        <v>0.7</v>
      </c>
      <c r="F16" s="7" t="s">
        <v>181</v>
      </c>
    </row>
    <row r="17" spans="1:6" x14ac:dyDescent="0.25">
      <c r="A17" t="s">
        <v>166</v>
      </c>
      <c r="B17" t="s">
        <v>163</v>
      </c>
      <c r="C17" s="21">
        <v>1</v>
      </c>
      <c r="D17" s="3">
        <v>8</v>
      </c>
      <c r="E17" s="3">
        <f>Table335678[[#This Row],[Approx Price Per Unit]]*Table335678[[#This Row],[QTY]]</f>
        <v>8</v>
      </c>
      <c r="F17" s="7" t="s">
        <v>186</v>
      </c>
    </row>
    <row r="18" spans="1:6" x14ac:dyDescent="0.25">
      <c r="A18" t="s">
        <v>178</v>
      </c>
      <c r="B18" t="s">
        <v>179</v>
      </c>
      <c r="C18" s="2">
        <v>6</v>
      </c>
      <c r="D18" s="3">
        <v>0.95</v>
      </c>
      <c r="E18" s="3">
        <f>Table335678[[#This Row],[Approx Price Per Unit]]*Table335678[[#This Row],[QTY]]</f>
        <v>5.6999999999999993</v>
      </c>
      <c r="F18" s="6" t="s">
        <v>180</v>
      </c>
    </row>
    <row r="20" spans="1:6" x14ac:dyDescent="0.25">
      <c r="D20" s="8" t="s">
        <v>137</v>
      </c>
      <c r="E20" s="3">
        <f>SUM(Table335678[Approx Cost])</f>
        <v>20.3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DD8C7-9061-4C0E-B338-F83AC9EAB39A}">
  <sheetPr>
    <tabColor rgb="FF00B050"/>
  </sheetPr>
  <dimension ref="A1:F12"/>
  <sheetViews>
    <sheetView workbookViewId="0">
      <selection activeCell="B26" sqref="B26"/>
    </sheetView>
  </sheetViews>
  <sheetFormatPr defaultRowHeight="15" x14ac:dyDescent="0.25"/>
  <cols>
    <col min="1" max="1" width="45.7109375" bestFit="1" customWidth="1"/>
    <col min="2" max="2" width="74.42578125" bestFit="1" customWidth="1"/>
    <col min="3" max="3" width="12.28515625" style="2" bestFit="1" customWidth="1"/>
    <col min="4" max="4" width="24.7109375" style="8" bestFit="1" customWidth="1"/>
    <col min="5" max="5" width="16.5703125" style="3" bestFit="1" customWidth="1"/>
    <col min="6" max="6" width="98.7109375" bestFit="1" customWidth="1"/>
  </cols>
  <sheetData>
    <row r="1" spans="1:6" ht="46.5" customHeight="1" x14ac:dyDescent="0.25">
      <c r="A1" s="25" t="s">
        <v>185</v>
      </c>
      <c r="B1" s="25"/>
      <c r="C1" s="25"/>
      <c r="D1" s="25"/>
      <c r="E1" s="25"/>
      <c r="F1" s="25"/>
    </row>
    <row r="2" spans="1:6" s="1" customFormat="1" x14ac:dyDescent="0.25">
      <c r="A2" s="1" t="s">
        <v>0</v>
      </c>
      <c r="B2" s="1" t="s">
        <v>3</v>
      </c>
      <c r="C2" s="2" t="s">
        <v>2</v>
      </c>
      <c r="D2" s="8" t="s">
        <v>172</v>
      </c>
      <c r="E2" s="3" t="s">
        <v>6</v>
      </c>
      <c r="F2" s="1" t="s">
        <v>1</v>
      </c>
    </row>
    <row r="3" spans="1:6" x14ac:dyDescent="0.25">
      <c r="A3" t="s">
        <v>159</v>
      </c>
      <c r="B3" t="s">
        <v>160</v>
      </c>
      <c r="C3" s="9">
        <v>3</v>
      </c>
      <c r="D3" s="3">
        <v>0.05</v>
      </c>
      <c r="E3" s="3">
        <f>Table3356789[[#This Row],[Approx Price Per Unit]]*Table3356789[[#This Row],[QTY]]</f>
        <v>0.15000000000000002</v>
      </c>
      <c r="F3" t="s">
        <v>192</v>
      </c>
    </row>
    <row r="4" spans="1:6" x14ac:dyDescent="0.25">
      <c r="A4" t="s">
        <v>161</v>
      </c>
      <c r="B4" t="s">
        <v>162</v>
      </c>
      <c r="C4" s="21">
        <v>3</v>
      </c>
      <c r="D4" s="3">
        <v>0.65</v>
      </c>
      <c r="E4" s="3">
        <f>Table3356789[[#This Row],[Approx Price Per Unit]]*Table3356789[[#This Row],[QTY]]</f>
        <v>1.9500000000000002</v>
      </c>
      <c r="F4" t="s">
        <v>164</v>
      </c>
    </row>
    <row r="5" spans="1:6" x14ac:dyDescent="0.25">
      <c r="A5" t="s">
        <v>182</v>
      </c>
      <c r="B5" t="s">
        <v>184</v>
      </c>
      <c r="C5" s="2">
        <v>1</v>
      </c>
      <c r="D5" s="3">
        <v>0.05</v>
      </c>
      <c r="E5" s="3">
        <f>Table3356789[[#This Row],[Approx Price Per Unit]]*Table3356789[[#This Row],[QTY]]</f>
        <v>0.05</v>
      </c>
      <c r="F5" s="7" t="s">
        <v>192</v>
      </c>
    </row>
    <row r="6" spans="1:6" x14ac:dyDescent="0.25">
      <c r="A6" t="s">
        <v>183</v>
      </c>
      <c r="B6" t="s">
        <v>184</v>
      </c>
      <c r="C6" s="2">
        <v>1</v>
      </c>
      <c r="D6" s="3">
        <v>0.05</v>
      </c>
      <c r="E6" s="3">
        <f>Table3356789[[#This Row],[Approx Price Per Unit]]*Table3356789[[#This Row],[QTY]]</f>
        <v>0.05</v>
      </c>
      <c r="F6" s="7" t="s">
        <v>192</v>
      </c>
    </row>
    <row r="7" spans="1:6" x14ac:dyDescent="0.25">
      <c r="A7" t="s">
        <v>173</v>
      </c>
      <c r="B7" t="s">
        <v>174</v>
      </c>
      <c r="C7" s="2">
        <v>1</v>
      </c>
      <c r="D7" s="3">
        <v>0.2</v>
      </c>
      <c r="E7" s="3">
        <f>Table3356789[[#This Row],[Approx Price Per Unit]]*Table3356789[[#This Row],[QTY]]</f>
        <v>0.2</v>
      </c>
      <c r="F7" s="7" t="s">
        <v>175</v>
      </c>
    </row>
    <row r="8" spans="1:6" x14ac:dyDescent="0.25">
      <c r="A8" t="s">
        <v>176</v>
      </c>
      <c r="B8" t="s">
        <v>177</v>
      </c>
      <c r="C8" s="2">
        <v>1</v>
      </c>
      <c r="D8" s="3">
        <v>0.35</v>
      </c>
      <c r="E8" s="3">
        <f>Table3356789[[#This Row],[Approx Price Per Unit]]*Table3356789[[#This Row],[QTY]]</f>
        <v>0.35</v>
      </c>
      <c r="F8" s="7" t="s">
        <v>181</v>
      </c>
    </row>
    <row r="9" spans="1:6" x14ac:dyDescent="0.25">
      <c r="A9" t="s">
        <v>166</v>
      </c>
      <c r="B9" t="s">
        <v>163</v>
      </c>
      <c r="C9" s="21">
        <v>1</v>
      </c>
      <c r="D9" s="3">
        <v>5</v>
      </c>
      <c r="E9" s="3">
        <f>Table3356789[[#This Row],[Approx Price Per Unit]]*Table3356789[[#This Row],[QTY]]</f>
        <v>5</v>
      </c>
      <c r="F9" s="7" t="s">
        <v>168</v>
      </c>
    </row>
    <row r="10" spans="1:6" x14ac:dyDescent="0.25">
      <c r="A10" t="s">
        <v>178</v>
      </c>
      <c r="B10" t="s">
        <v>179</v>
      </c>
      <c r="C10" s="2">
        <v>1</v>
      </c>
      <c r="D10" s="3">
        <v>0.95</v>
      </c>
      <c r="E10" s="3">
        <f>Table3356789[[#This Row],[Approx Price Per Unit]]*Table3356789[[#This Row],[QTY]]</f>
        <v>0.95</v>
      </c>
      <c r="F10" s="6" t="s">
        <v>180</v>
      </c>
    </row>
    <row r="12" spans="1:6" x14ac:dyDescent="0.25">
      <c r="D12" s="8" t="s">
        <v>137</v>
      </c>
      <c r="E12" s="3">
        <f>SUM(Table3356789[Approx Cost])</f>
        <v>8.6999999999999993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6F7BF-A11A-47D4-8B88-74E14C7E6B53}">
  <sheetPr>
    <tabColor rgb="FF00B050"/>
  </sheetPr>
  <dimension ref="A1:F9"/>
  <sheetViews>
    <sheetView workbookViewId="0">
      <selection activeCell="F36" sqref="F36"/>
    </sheetView>
  </sheetViews>
  <sheetFormatPr defaultRowHeight="15" x14ac:dyDescent="0.25"/>
  <cols>
    <col min="1" max="1" width="45.7109375" bestFit="1" customWidth="1"/>
    <col min="2" max="2" width="74.42578125" bestFit="1" customWidth="1"/>
    <col min="3" max="3" width="9.140625" style="9" bestFit="1" customWidth="1"/>
    <col min="4" max="4" width="24.42578125" style="9" bestFit="1" customWidth="1"/>
    <col min="5" max="5" width="16.5703125" style="4" bestFit="1" customWidth="1"/>
    <col min="6" max="6" width="98.7109375" bestFit="1" customWidth="1"/>
  </cols>
  <sheetData>
    <row r="1" spans="1:6" ht="46.5" customHeight="1" x14ac:dyDescent="0.25">
      <c r="A1" s="25" t="s">
        <v>187</v>
      </c>
      <c r="B1" s="25"/>
      <c r="C1" s="25"/>
      <c r="D1" s="25"/>
      <c r="E1" s="25"/>
      <c r="F1" s="25"/>
    </row>
    <row r="2" spans="1:6" s="19" customFormat="1" ht="25.5" customHeight="1" x14ac:dyDescent="0.35">
      <c r="A2" s="28" t="s">
        <v>169</v>
      </c>
      <c r="B2" s="28"/>
      <c r="C2" s="28"/>
      <c r="D2" s="28"/>
      <c r="E2" s="28"/>
      <c r="F2" s="28"/>
    </row>
    <row r="3" spans="1:6" s="1" customFormat="1" x14ac:dyDescent="0.25">
      <c r="A3" s="1" t="s">
        <v>0</v>
      </c>
      <c r="B3" s="1" t="s">
        <v>3</v>
      </c>
      <c r="C3" s="8" t="s">
        <v>2</v>
      </c>
      <c r="D3" s="8" t="s">
        <v>147</v>
      </c>
      <c r="E3" s="3" t="s">
        <v>6</v>
      </c>
      <c r="F3" s="1" t="s">
        <v>1</v>
      </c>
    </row>
    <row r="4" spans="1:6" x14ac:dyDescent="0.25">
      <c r="A4" t="s">
        <v>159</v>
      </c>
      <c r="B4" t="s">
        <v>160</v>
      </c>
      <c r="C4" s="20">
        <v>2</v>
      </c>
      <c r="D4" s="3">
        <v>0.05</v>
      </c>
      <c r="E4" s="3">
        <f>Table335678910[[#This Row],[Approx Cost Per Unit]]*Table335678910[[#This Row],[QTY]]</f>
        <v>0.1</v>
      </c>
      <c r="F4" t="s">
        <v>192</v>
      </c>
    </row>
    <row r="5" spans="1:6" x14ac:dyDescent="0.25">
      <c r="A5" t="s">
        <v>161</v>
      </c>
      <c r="B5" t="s">
        <v>162</v>
      </c>
      <c r="C5" s="20">
        <v>2</v>
      </c>
      <c r="D5" s="3">
        <v>0.65</v>
      </c>
      <c r="E5" s="3">
        <f>Table335678910[[#This Row],[Approx Cost Per Unit]]*Table335678910[[#This Row],[QTY]]</f>
        <v>1.3</v>
      </c>
      <c r="F5" t="s">
        <v>164</v>
      </c>
    </row>
    <row r="6" spans="1:6" x14ac:dyDescent="0.25">
      <c r="A6" t="s">
        <v>170</v>
      </c>
      <c r="B6" t="s">
        <v>162</v>
      </c>
      <c r="C6" s="20">
        <v>2</v>
      </c>
      <c r="D6" s="3">
        <v>2.35</v>
      </c>
      <c r="E6" s="3">
        <f>Table335678910[[#This Row],[Approx Cost Per Unit]]*Table335678910[[#This Row],[QTY]]</f>
        <v>4.7</v>
      </c>
      <c r="F6" t="s">
        <v>164</v>
      </c>
    </row>
    <row r="7" spans="1:6" x14ac:dyDescent="0.25">
      <c r="A7" t="s">
        <v>166</v>
      </c>
      <c r="B7" t="s">
        <v>163</v>
      </c>
      <c r="C7" s="20">
        <v>1</v>
      </c>
      <c r="D7" s="3">
        <v>5</v>
      </c>
      <c r="E7" s="3">
        <f>Table335678910[[#This Row],[Approx Cost Per Unit]]*Table335678910[[#This Row],[QTY]]</f>
        <v>5</v>
      </c>
      <c r="F7" s="7" t="s">
        <v>168</v>
      </c>
    </row>
    <row r="9" spans="1:6" x14ac:dyDescent="0.25">
      <c r="D9" s="9" t="s">
        <v>137</v>
      </c>
      <c r="E9" s="4">
        <f>SUM(Table335678910[Approx Cost])</f>
        <v>11.100000000000001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2949-F8DA-49BC-9967-1CFE54C3BBA4}">
  <sheetPr>
    <tabColor rgb="FF00B050"/>
  </sheetPr>
  <dimension ref="A1:F8"/>
  <sheetViews>
    <sheetView workbookViewId="0">
      <selection activeCell="F6" sqref="F6"/>
    </sheetView>
  </sheetViews>
  <sheetFormatPr defaultRowHeight="15" x14ac:dyDescent="0.25"/>
  <cols>
    <col min="1" max="1" width="45.7109375" bestFit="1" customWidth="1"/>
    <col min="2" max="2" width="74.42578125" bestFit="1" customWidth="1"/>
    <col min="3" max="3" width="9.140625" style="9" bestFit="1" customWidth="1"/>
    <col min="4" max="4" width="24.42578125" style="9" bestFit="1" customWidth="1"/>
    <col min="5" max="5" width="16.5703125" style="4" bestFit="1" customWidth="1"/>
    <col min="6" max="6" width="98.7109375" bestFit="1" customWidth="1"/>
  </cols>
  <sheetData>
    <row r="1" spans="1:6" ht="46.5" customHeight="1" x14ac:dyDescent="0.25">
      <c r="A1" s="25" t="s">
        <v>188</v>
      </c>
      <c r="B1" s="25"/>
      <c r="C1" s="25"/>
      <c r="D1" s="25"/>
      <c r="E1" s="25"/>
      <c r="F1" s="25"/>
    </row>
    <row r="2" spans="1:6" s="19" customFormat="1" ht="25.5" customHeight="1" x14ac:dyDescent="0.35">
      <c r="A2" s="28" t="s">
        <v>167</v>
      </c>
      <c r="B2" s="28"/>
      <c r="C2" s="28"/>
      <c r="D2" s="28"/>
      <c r="E2" s="28"/>
      <c r="F2" s="28"/>
    </row>
    <row r="3" spans="1:6" s="1" customFormat="1" x14ac:dyDescent="0.25">
      <c r="A3" s="1" t="s">
        <v>0</v>
      </c>
      <c r="B3" s="1" t="s">
        <v>3</v>
      </c>
      <c r="C3" s="8" t="s">
        <v>2</v>
      </c>
      <c r="D3" s="8" t="s">
        <v>165</v>
      </c>
      <c r="E3" s="3" t="s">
        <v>6</v>
      </c>
      <c r="F3" s="1" t="s">
        <v>1</v>
      </c>
    </row>
    <row r="4" spans="1:6" x14ac:dyDescent="0.25">
      <c r="A4" t="s">
        <v>159</v>
      </c>
      <c r="B4" t="s">
        <v>160</v>
      </c>
      <c r="C4" s="9">
        <v>8</v>
      </c>
      <c r="D4" s="3">
        <v>0.05</v>
      </c>
      <c r="E4" s="3">
        <f>Table33567891011[[#This Row],[QTY]]*Table33567891011[[#This Row],[Approx Cost per Unit]]</f>
        <v>0.4</v>
      </c>
      <c r="F4" t="s">
        <v>192</v>
      </c>
    </row>
    <row r="5" spans="1:6" x14ac:dyDescent="0.25">
      <c r="A5" t="s">
        <v>161</v>
      </c>
      <c r="B5" t="s">
        <v>162</v>
      </c>
      <c r="C5" s="9">
        <v>9</v>
      </c>
      <c r="D5" s="3">
        <v>0.65</v>
      </c>
      <c r="E5" s="3">
        <f>Table33567891011[[#This Row],[QTY]]*Table33567891011[[#This Row],[Approx Cost per Unit]]</f>
        <v>5.8500000000000005</v>
      </c>
      <c r="F5" t="s">
        <v>164</v>
      </c>
    </row>
    <row r="6" spans="1:6" x14ac:dyDescent="0.25">
      <c r="A6" t="s">
        <v>166</v>
      </c>
      <c r="B6" t="s">
        <v>163</v>
      </c>
      <c r="C6" s="9">
        <v>1</v>
      </c>
      <c r="D6" s="3">
        <v>5</v>
      </c>
      <c r="E6" s="3">
        <f>Table33567891011[[#This Row],[QTY]]*Table33567891011[[#This Row],[Approx Cost per Unit]]</f>
        <v>5</v>
      </c>
      <c r="F6" s="7" t="s">
        <v>168</v>
      </c>
    </row>
    <row r="8" spans="1:6" x14ac:dyDescent="0.25">
      <c r="D8" s="9" t="s">
        <v>134</v>
      </c>
      <c r="E8" s="4">
        <f>SUM(Table33567891011[Approx Cost])</f>
        <v>11.25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AF551-1EC1-456B-BB31-A2BE756624EF}">
  <sheetPr>
    <tabColor rgb="FF92D050"/>
  </sheetPr>
  <dimension ref="A1:F20"/>
  <sheetViews>
    <sheetView workbookViewId="0">
      <selection activeCell="D33" sqref="D33"/>
    </sheetView>
  </sheetViews>
  <sheetFormatPr defaultRowHeight="15" x14ac:dyDescent="0.25"/>
  <cols>
    <col min="1" max="1" width="45.7109375" bestFit="1" customWidth="1"/>
    <col min="2" max="2" width="74.42578125" bestFit="1" customWidth="1"/>
    <col min="3" max="3" width="12.28515625" style="2" bestFit="1" customWidth="1"/>
    <col min="4" max="4" width="24.7109375" style="9" bestFit="1" customWidth="1"/>
    <col min="5" max="5" width="16.5703125" style="4" bestFit="1" customWidth="1"/>
    <col min="6" max="6" width="119.5703125" bestFit="1" customWidth="1"/>
  </cols>
  <sheetData>
    <row r="1" spans="1:6" ht="46.5" x14ac:dyDescent="0.25">
      <c r="A1" s="25" t="s">
        <v>189</v>
      </c>
      <c r="B1" s="25"/>
      <c r="C1" s="25"/>
      <c r="D1" s="25"/>
      <c r="E1" s="25"/>
      <c r="F1" s="25"/>
    </row>
    <row r="2" spans="1:6" s="1" customFormat="1" x14ac:dyDescent="0.25">
      <c r="A2" s="1" t="s">
        <v>0</v>
      </c>
      <c r="B2" s="1" t="s">
        <v>3</v>
      </c>
      <c r="C2" s="2" t="s">
        <v>2</v>
      </c>
      <c r="D2" s="8" t="s">
        <v>218</v>
      </c>
      <c r="E2" s="3" t="s">
        <v>6</v>
      </c>
      <c r="F2" s="1" t="s">
        <v>1</v>
      </c>
    </row>
    <row r="3" spans="1:6" x14ac:dyDescent="0.25">
      <c r="A3" t="s">
        <v>26</v>
      </c>
      <c r="B3" t="s">
        <v>69</v>
      </c>
      <c r="C3" s="2">
        <v>50</v>
      </c>
      <c r="D3" s="5">
        <v>0.3</v>
      </c>
      <c r="E3" s="4">
        <f>Table3356789101112[[#This Row],[Approx Price per Unit]]*Table3356789101112[[#This Row],[QTY]]</f>
        <v>15</v>
      </c>
      <c r="F3" s="7" t="s">
        <v>231</v>
      </c>
    </row>
    <row r="4" spans="1:6" x14ac:dyDescent="0.25">
      <c r="A4" t="s">
        <v>219</v>
      </c>
      <c r="B4" t="s">
        <v>223</v>
      </c>
      <c r="C4" s="2">
        <v>25</v>
      </c>
      <c r="D4" s="5">
        <v>0.1</v>
      </c>
      <c r="E4" s="4">
        <f>Table3356789101112[[#This Row],[Approx Price per Unit]]*Table3356789101112[[#This Row],[QTY]]</f>
        <v>2.5</v>
      </c>
      <c r="F4" s="7"/>
    </row>
    <row r="5" spans="1:6" x14ac:dyDescent="0.25">
      <c r="A5" t="s">
        <v>220</v>
      </c>
      <c r="B5" t="s">
        <v>223</v>
      </c>
      <c r="C5" s="2">
        <v>25</v>
      </c>
      <c r="D5" s="5">
        <v>0.1</v>
      </c>
      <c r="E5" s="4">
        <f>Table3356789101112[[#This Row],[Approx Price per Unit]]*Table3356789101112[[#This Row],[QTY]]</f>
        <v>2.5</v>
      </c>
      <c r="F5" s="7"/>
    </row>
    <row r="6" spans="1:6" x14ac:dyDescent="0.25">
      <c r="A6" t="s">
        <v>221</v>
      </c>
      <c r="B6" t="s">
        <v>223</v>
      </c>
      <c r="C6" s="2">
        <v>10</v>
      </c>
      <c r="D6" s="5">
        <v>0.1</v>
      </c>
      <c r="E6" s="4">
        <f>Table3356789101112[[#This Row],[Approx Price per Unit]]*Table3356789101112[[#This Row],[QTY]]</f>
        <v>1</v>
      </c>
      <c r="F6" s="7"/>
    </row>
    <row r="7" spans="1:6" x14ac:dyDescent="0.25">
      <c r="A7" t="s">
        <v>222</v>
      </c>
      <c r="B7" t="s">
        <v>223</v>
      </c>
      <c r="C7" s="2">
        <v>20</v>
      </c>
      <c r="D7" s="5">
        <v>0.1</v>
      </c>
      <c r="E7" s="4">
        <f>Table3356789101112[[#This Row],[Approx Price per Unit]]*Table3356789101112[[#This Row],[QTY]]</f>
        <v>2</v>
      </c>
      <c r="F7" s="7"/>
    </row>
    <row r="8" spans="1:6" x14ac:dyDescent="0.25">
      <c r="A8" t="s">
        <v>224</v>
      </c>
      <c r="B8" t="s">
        <v>28</v>
      </c>
      <c r="C8" s="2">
        <v>6</v>
      </c>
      <c r="D8" s="5">
        <v>1.25</v>
      </c>
      <c r="E8" s="4">
        <f>Table3356789101112[[#This Row],[Approx Price per Unit]]*Table3356789101112[[#This Row],[QTY]]</f>
        <v>7.5</v>
      </c>
      <c r="F8" s="4"/>
    </row>
    <row r="9" spans="1:6" x14ac:dyDescent="0.25">
      <c r="A9" t="s">
        <v>225</v>
      </c>
      <c r="B9" t="s">
        <v>28</v>
      </c>
      <c r="C9" s="2">
        <v>2</v>
      </c>
      <c r="D9" s="5">
        <v>1.25</v>
      </c>
      <c r="E9" s="4">
        <f>Table3356789101112[[#This Row],[Approx Price per Unit]]*Table3356789101112[[#This Row],[QTY]]</f>
        <v>2.5</v>
      </c>
      <c r="F9" s="4"/>
    </row>
    <row r="10" spans="1:6" x14ac:dyDescent="0.25">
      <c r="A10" t="s">
        <v>226</v>
      </c>
      <c r="B10" t="s">
        <v>28</v>
      </c>
      <c r="C10" s="2">
        <v>1</v>
      </c>
      <c r="D10" s="5">
        <v>1.25</v>
      </c>
      <c r="E10" s="4">
        <f>Table3356789101112[[#This Row],[Approx Price per Unit]]*Table3356789101112[[#This Row],[QTY]]</f>
        <v>1.25</v>
      </c>
      <c r="F10" s="4"/>
    </row>
    <row r="11" spans="1:6" x14ac:dyDescent="0.25">
      <c r="A11" t="s">
        <v>228</v>
      </c>
      <c r="B11" t="s">
        <v>28</v>
      </c>
      <c r="C11" s="2">
        <v>1</v>
      </c>
      <c r="D11" s="5">
        <v>1.25</v>
      </c>
      <c r="E11" s="4">
        <f>Table3356789101112[[#This Row],[Approx Price per Unit]]*Table3356789101112[[#This Row],[QTY]]</f>
        <v>1.25</v>
      </c>
      <c r="F11" s="4"/>
    </row>
    <row r="12" spans="1:6" x14ac:dyDescent="0.25">
      <c r="A12" t="s">
        <v>227</v>
      </c>
      <c r="B12" t="s">
        <v>28</v>
      </c>
      <c r="C12" s="2">
        <v>3</v>
      </c>
      <c r="D12" s="5">
        <v>1.25</v>
      </c>
      <c r="E12" s="4">
        <f>Table3356789101112[[#This Row],[Approx Price per Unit]]*Table3356789101112[[#This Row],[QTY]]</f>
        <v>3.75</v>
      </c>
      <c r="F12" s="4"/>
    </row>
    <row r="13" spans="1:6" x14ac:dyDescent="0.25">
      <c r="A13" t="s">
        <v>229</v>
      </c>
      <c r="B13" t="s">
        <v>230</v>
      </c>
      <c r="C13" s="2">
        <v>1</v>
      </c>
      <c r="D13" s="5">
        <v>5</v>
      </c>
      <c r="E13" s="4">
        <f>Table3356789101112[[#This Row],[Approx Price per Unit]]*Table3356789101112[[#This Row],[QTY]]</f>
        <v>5</v>
      </c>
      <c r="F13" s="7"/>
    </row>
    <row r="15" spans="1:6" x14ac:dyDescent="0.25">
      <c r="D15" s="9" t="s">
        <v>137</v>
      </c>
      <c r="E15" s="4">
        <f>SUM(E3:E12)</f>
        <v>39.25</v>
      </c>
    </row>
    <row r="19" spans="6:6" x14ac:dyDescent="0.25">
      <c r="F19" s="7"/>
    </row>
    <row r="20" spans="6:6" x14ac:dyDescent="0.25">
      <c r="F20" s="7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Complete Assembly List</vt:lpstr>
      <vt:lpstr>Indicator Control Panel</vt:lpstr>
      <vt:lpstr>Reactor Control Panel</vt:lpstr>
      <vt:lpstr>SCRAM Control Panel</vt:lpstr>
      <vt:lpstr>Simulation Control Panel</vt:lpstr>
      <vt:lpstr>Simulator Base</vt:lpstr>
      <vt:lpstr>Monitor Panel</vt:lpstr>
      <vt:lpstr>Siren Panel</vt:lpstr>
      <vt:lpstr>HPP Panel</vt:lpstr>
      <vt:lpstr>Mounting Hardware</vt:lpstr>
      <vt:lpstr>Bar Graph Circuit</vt:lpstr>
      <vt:lpstr>Siren Trigger Circuit</vt:lpstr>
      <vt:lpstr>Selector Switch Circuit</vt:lpstr>
      <vt:lpstr>Pull Down Circuit</vt:lpstr>
      <vt:lpstr>Wiring Harness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Okerstrom, Daniel</dc:creator>
  <cp:lastModifiedBy>Okerstrom, Daniel</cp:lastModifiedBy>
  <dcterms:created xsi:type="dcterms:W3CDTF">2026-03-31T21:30:50Z</dcterms:created>
  <dcterms:modified xsi:type="dcterms:W3CDTF">2026-04-13T18:45:08Z</dcterms:modified>
</cp:coreProperties>
</file>